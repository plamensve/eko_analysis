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DC2DE6A2-2363-4EAB-BA75-E26B6F9D37DD}" xr6:coauthVersionLast="47" xr6:coauthVersionMax="47" xr10:uidLastSave="{00000000-0000-0000-0000-000000000000}"/>
  <bookViews>
    <workbookView xWindow="-120" yWindow="-120" windowWidth="29040" windowHeight="15720" tabRatio="877" firstSheet="15" activeTab="19" xr2:uid="{00000000-000D-0000-FFFF-FFFF00000000}"/>
  </bookViews>
  <sheets>
    <sheet name="OП ТАСРУД" sheetId="1" r:id="rId1"/>
    <sheet name="АГРАРЕН УНИВЕРСИТЕТ - ПЛОВДИВ" sheetId="2" r:id="rId2"/>
    <sheet name="АГРОПАКТ ЕООД" sheetId="3" r:id="rId3"/>
    <sheet name="АДИГА ЕООД" sheetId="4" r:id="rId4"/>
    <sheet name="АНИВА ЕООД" sheetId="5" r:id="rId5"/>
    <sheet name="БКС ДОЛНИ ЧИФЛИК ЕООД" sheetId="6" r:id="rId6"/>
    <sheet name="ДЕЛОР 20 ЕООД" sheetId="7" r:id="rId7"/>
    <sheet name="ДЕМАКС АД % ГРУПА 1" sheetId="8" r:id="rId8"/>
    <sheet name="ДЕМАКС АД % ГРУПА 2" sheetId="9" r:id="rId9"/>
    <sheet name="ДЕМАКС ДИ ПИ АЙ АД % ГРУПА 1" sheetId="10" r:id="rId10"/>
    <sheet name="ДЕМАКС ДИ ПИ АЙ АД % ГРУПА 2" sheetId="11" r:id="rId11"/>
    <sheet name="ДЕМАКС ДИ ПИ АЙ АД % ГРУПА 3" sheetId="12" r:id="rId12"/>
    <sheet name="ДЖИ ТИ ЕЙ ПЕТРОЛИУМ" sheetId="13" r:id="rId13"/>
    <sheet name="ДИЛЯНА-02 ЕООД" sheetId="14" r:id="rId14"/>
    <sheet name="ДИМИТРОВ ЕКСПРЕС КАРГО ООД" sheetId="15" r:id="rId15"/>
    <sheet name="ДИЯНИС ВАРНА ООД" sheetId="16" r:id="rId16"/>
    <sheet name="ДОК ТРАНС ЕООД" sheetId="17" r:id="rId17"/>
    <sheet name="ДОМАШЕН СОЦИАЛЕН ПАТРОНАЖ" sheetId="18" r:id="rId18"/>
    <sheet name="ЕВРО ТРАНС ПРЕМИУМ ЕООД" sheetId="19" r:id="rId19"/>
    <sheet name="ЕВРОУЕЙ СЪРВИЗ ООД" sheetId="20" r:id="rId20"/>
    <sheet name="ЕНЕРДЖИ ПЛЮС ЕООД" sheetId="21" r:id="rId21"/>
    <sheet name="ЖЕЛЯЗКОВ ИНЖЕНЕРИНГ - ПРОИЗВОДС" sheetId="22" r:id="rId22"/>
    <sheet name="ЖИВКО НЕДЕЛЧЕВ ДИМИТРОВ" sheetId="23" r:id="rId23"/>
    <sheet name="ЗЕМЕДЕЛСКА ТЕХНИКА ООД" sheetId="24" r:id="rId24"/>
    <sheet name="ЗП ВЕСЕЛИН СТЕФАНОВ ЖЕЛЯЗКОВ" sheetId="25" r:id="rId25"/>
    <sheet name="ИВОН СТРОЙ 2015 ЕООД" sheetId="26" r:id="rId26"/>
    <sheet name="КИРОВ ТУР ООД" sheetId="27" r:id="rId27"/>
    <sheet name="КМЕТСТВО ЗВЕЗДИЦА" sheetId="28" r:id="rId28"/>
    <sheet name="КМЕТСТВО КАМЕНАР" sheetId="29" r:id="rId29"/>
    <sheet name="КМЕТСТВО КОНСТАНТИНОВО" sheetId="30" r:id="rId30"/>
    <sheet name="КОМЕРС НОВИ ПАЗАР ЕООД" sheetId="31" r:id="rId31"/>
    <sheet name="КСУВХ ГЕРГАНА ДСХ И ДПЛФУ" sheetId="32" r:id="rId32"/>
    <sheet name="КСУДПЛУ  СВ. ЙОАН  ЗЛАТОУСТ" sheetId="33" r:id="rId33"/>
    <sheet name="МЕРКУРИЙ ПРОИЗВОДСТВО И ПАКЕТАЖ" sheetId="34" r:id="rId34"/>
    <sheet name="МУЛТИАРТ ЕООД" sheetId="35" r:id="rId35"/>
    <sheet name="ОБЩИНА ВАРНА % 1" sheetId="36" r:id="rId36"/>
    <sheet name="ОБЩИНА ВАРНА % 2 - ОБЩИНСКА ПОЛ" sheetId="37" r:id="rId37"/>
    <sheet name="ОБЩИНА ВАРНА % 4 - УА" sheetId="38" r:id="rId38"/>
    <sheet name="ОБЩИНА ВАРНА - ДИРЕКЦИЯ СПОРТ" sheetId="39" r:id="rId39"/>
    <sheet name="ОБЩИНА ВАРНА % 5 - ПГД" sheetId="40" r:id="rId40"/>
    <sheet name="ОБЩИНА ДОБРИЧКА" sheetId="41" r:id="rId41"/>
    <sheet name="ОП ДЕЗИНФЕКЦИЯ, ДЕЗИНСЕКЦИЯ, ДЕ" sheetId="42" r:id="rId42"/>
    <sheet name="ОП КОМПЛЕКС ЗА ДЕТСКО ХРАНЕНЕ" sheetId="43" r:id="rId43"/>
    <sheet name="ОП ОБЩИНСКИ ПАРКИНГИ И СИНЯ ЗОН" sheetId="44" r:id="rId44"/>
    <sheet name="ОП УПРАВЛЕНИЕ НА ПРОЕКТИ И ОЗЕЛ" sheetId="45" r:id="rId45"/>
    <sheet name="ПАНТЕКС АГРО ЕООД" sheetId="46" r:id="rId46"/>
    <sheet name="ПОДИ ЕООД" sheetId="47" r:id="rId47"/>
    <sheet name="РАЙОН АСПАРУХОВО" sheetId="48" r:id="rId48"/>
    <sheet name="РАЙОН ВЛАДИСЛАВ ВАРНЕНЧИК - ОБЩ" sheetId="49" r:id="rId49"/>
    <sheet name="РАЙОН МЛАДОСТ - ОБЩИНА ВАРНА" sheetId="50" r:id="rId50"/>
    <sheet name="РАЙОН ОДЕСОС" sheetId="51" r:id="rId51"/>
    <sheet name="РАЙОН ПРИМОРСКИ – ОБЩИНА ВАРНА" sheetId="52" r:id="rId52"/>
    <sheet name="СКАЛА 13 - СТОЙЧО СТОЕВ ЕТ" sheetId="53" r:id="rId53"/>
    <sheet name="СКИМПРОТ ООД % ГРУПА 1" sheetId="54" r:id="rId54"/>
    <sheet name="СКИМПРОТ ООД % ГРУПА 2" sheetId="55" r:id="rId55"/>
    <sheet name="СПЕДСТРОЙ ООД" sheetId="56" r:id="rId56"/>
    <sheet name="ФРОЗЕН ФУУДС ЕООД" sheetId="57" r:id="rId57"/>
    <sheet name="ФУУДС ТРЕЙД ЕООД" sheetId="58" r:id="rId58"/>
    <sheet name="ХРАНИНВЕСТ ЕООД % ДОСТАВКИ" sheetId="59" r:id="rId59"/>
    <sheet name="ХРАНИНВЕСТ ЕООД % ПРОДАЖБИ" sheetId="60" r:id="rId60"/>
    <sheet name="ХРАНИНВЕСТ ЕООД % ТЪРГОВЦИ" sheetId="61" r:id="rId61"/>
  </sheets>
  <definedNames>
    <definedName name="_xlnm._FilterDatabase" localSheetId="35" hidden="1">'ОБЩИНА ВАРНА % 1'!$A$1:$P$17</definedName>
    <definedName name="_xlnm._FilterDatabase" localSheetId="36" hidden="1">'ОБЩИНА ВАРНА % 2 - ОБЩИНСКА ПОЛ'!$A$1:$P$20</definedName>
    <definedName name="_xlnm._FilterDatabase" localSheetId="40" hidden="1">'ОБЩИНА ДОБРИЧКА'!$D$1:$D$72</definedName>
    <definedName name="_xlnm._FilterDatabase" localSheetId="53" hidden="1">'СКИМПРОТ ООД % ГРУПА 1'!$A$1:$P$20</definedName>
    <definedName name="_xlnm._FilterDatabase" localSheetId="54" hidden="1">'СКИМПРОТ ООД % ГРУПА 2'!$A$1:$P$27</definedName>
    <definedName name="_xlnm._FilterDatabase" localSheetId="57" hidden="1">'ФУУДС ТРЕЙД ЕООД'!$A$1:$P$64</definedName>
    <definedName name="_xlnm._FilterDatabase" localSheetId="59" hidden="1">'ХРАНИНВЕСТ ЕООД % ПРОДАЖБИ'!$A$1:$P$105</definedName>
  </definedNames>
  <calcPr calcId="191029"/>
</workbook>
</file>

<file path=xl/calcChain.xml><?xml version="1.0" encoding="utf-8"?>
<calcChain xmlns="http://schemas.openxmlformats.org/spreadsheetml/2006/main">
  <c r="L5" i="40" l="1"/>
  <c r="F5" i="40"/>
  <c r="L4" i="38"/>
  <c r="F4" i="38"/>
  <c r="L20" i="37"/>
  <c r="F20" i="37"/>
  <c r="L11" i="59" l="1"/>
  <c r="F11" i="59"/>
  <c r="L64" i="58"/>
  <c r="F64" i="58"/>
  <c r="L9" i="57"/>
  <c r="F9" i="57"/>
  <c r="F20" i="54"/>
  <c r="F4" i="53" l="1"/>
  <c r="L5" i="52" l="1"/>
  <c r="F5" i="52"/>
  <c r="L5" i="51"/>
  <c r="F5" i="51"/>
  <c r="L4" i="50"/>
  <c r="F4" i="50"/>
  <c r="L8" i="49" l="1"/>
  <c r="F8" i="49"/>
  <c r="L7" i="48"/>
  <c r="F7" i="48"/>
  <c r="L66" i="47"/>
  <c r="F66" i="47"/>
  <c r="L13" i="46" l="1"/>
  <c r="F13" i="46"/>
  <c r="L55" i="45"/>
  <c r="F55" i="45"/>
  <c r="L12" i="44" l="1"/>
  <c r="F12" i="44"/>
  <c r="L13" i="43" l="1"/>
  <c r="F13" i="43"/>
  <c r="L7" i="42"/>
  <c r="F7" i="42"/>
  <c r="F75" i="41" l="1"/>
  <c r="L11" i="1"/>
  <c r="F11" i="1"/>
  <c r="F21" i="36"/>
  <c r="L18" i="35" l="1"/>
  <c r="F18" i="35"/>
  <c r="L68" i="34" l="1"/>
  <c r="F68" i="34"/>
  <c r="H8" i="45" l="1"/>
  <c r="H26" i="41"/>
  <c r="L26" i="41" s="1"/>
  <c r="H27" i="41"/>
  <c r="L27" i="41" s="1"/>
  <c r="H28" i="41"/>
  <c r="L28" i="41" s="1"/>
  <c r="H29" i="41"/>
  <c r="L29" i="41" s="1"/>
  <c r="H30" i="41"/>
  <c r="L30" i="41" s="1"/>
  <c r="H31" i="41"/>
  <c r="L31" i="41" s="1"/>
  <c r="H32" i="41"/>
  <c r="L32" i="41" s="1"/>
  <c r="H33" i="41"/>
  <c r="L33" i="41" s="1"/>
  <c r="H34" i="41"/>
  <c r="L34" i="41" s="1"/>
  <c r="H35" i="41"/>
  <c r="L35" i="41" s="1"/>
  <c r="H36" i="41"/>
  <c r="L36" i="41" s="1"/>
  <c r="H37" i="41"/>
  <c r="L37" i="41" s="1"/>
  <c r="H38" i="41"/>
  <c r="L38" i="41" s="1"/>
  <c r="H39" i="41"/>
  <c r="L39" i="41" s="1"/>
  <c r="H40" i="41"/>
  <c r="L40" i="41" s="1"/>
  <c r="H41" i="41"/>
  <c r="L41" i="41" s="1"/>
  <c r="H3" i="41"/>
  <c r="L3" i="41" s="1"/>
  <c r="H4" i="41"/>
  <c r="L4" i="41" s="1"/>
  <c r="H5" i="41"/>
  <c r="L5" i="41" s="1"/>
  <c r="H6" i="41"/>
  <c r="L6" i="41" s="1"/>
  <c r="H7" i="41"/>
  <c r="L7" i="41" s="1"/>
  <c r="H8" i="41"/>
  <c r="L8" i="41" s="1"/>
  <c r="H9" i="41"/>
  <c r="L9" i="41" s="1"/>
  <c r="H10" i="41"/>
  <c r="L10" i="41" s="1"/>
  <c r="H11" i="41"/>
  <c r="L11" i="41" s="1"/>
  <c r="H12" i="41"/>
  <c r="L12" i="41" s="1"/>
  <c r="H13" i="41"/>
  <c r="L13" i="41" s="1"/>
  <c r="H14" i="41"/>
  <c r="L14" i="41" s="1"/>
  <c r="H15" i="41"/>
  <c r="L15" i="41" s="1"/>
  <c r="H16" i="41"/>
  <c r="L16" i="41" s="1"/>
  <c r="H17" i="41"/>
  <c r="L17" i="41" s="1"/>
  <c r="H18" i="41"/>
  <c r="L18" i="41" s="1"/>
  <c r="H19" i="41"/>
  <c r="L19" i="41" s="1"/>
  <c r="H20" i="41"/>
  <c r="L20" i="41" s="1"/>
  <c r="H21" i="41"/>
  <c r="L21" i="41" s="1"/>
  <c r="H22" i="41"/>
  <c r="L22" i="41" s="1"/>
  <c r="H23" i="41"/>
  <c r="L23" i="41" s="1"/>
  <c r="H24" i="41"/>
  <c r="L24" i="41" s="1"/>
  <c r="H25" i="41"/>
  <c r="L25" i="41" s="1"/>
  <c r="H2" i="41"/>
  <c r="L2" i="41" s="1"/>
  <c r="H4" i="36"/>
  <c r="L4" i="36" s="1"/>
  <c r="L21" i="36" s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" i="15"/>
  <c r="L2" i="15" s="1"/>
  <c r="L75" i="41" l="1"/>
</calcChain>
</file>

<file path=xl/sharedStrings.xml><?xml version="1.0" encoding="utf-8"?>
<sst xmlns="http://schemas.openxmlformats.org/spreadsheetml/2006/main" count="8362" uniqueCount="1441">
  <si>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</si>
  <si>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</si>
  <si>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</si>
  <si>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</si>
  <si>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</si>
  <si>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</si>
  <si>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</si>
  <si>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</si>
  <si>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Отстъпка</t>
  </si>
  <si>
    <t>Марж</t>
  </si>
  <si>
    <t>Печалба</t>
  </si>
  <si>
    <t>Сума по GTA цена</t>
  </si>
  <si>
    <t>ЕКО цена</t>
  </si>
  <si>
    <t>Сума по ЕКО цена</t>
  </si>
  <si>
    <t>Час</t>
  </si>
  <si>
    <t>Километри</t>
  </si>
  <si>
    <t>2026-04-27</t>
  </si>
  <si>
    <t>1147 Варна Ситроен</t>
  </si>
  <si>
    <t>В2108СА</t>
  </si>
  <si>
    <t>78970155027720642</t>
  </si>
  <si>
    <t>DIESEL EKONOMY</t>
  </si>
  <si>
    <t>L15</t>
  </si>
  <si>
    <t>13:10:00</t>
  </si>
  <si>
    <t>2026-04-30</t>
  </si>
  <si>
    <t>1146 Варна Сливница</t>
  </si>
  <si>
    <t>В9846КН</t>
  </si>
  <si>
    <t>78970155027720592</t>
  </si>
  <si>
    <t>10:58:00</t>
  </si>
  <si>
    <t>В7853КР</t>
  </si>
  <si>
    <t>78970155027720600</t>
  </si>
  <si>
    <t>95 EKONOMY UNLEADED</t>
  </si>
  <si>
    <t>15:39:00</t>
  </si>
  <si>
    <t>1148 Варна пристанище</t>
  </si>
  <si>
    <t>15:22:00</t>
  </si>
  <si>
    <t>В7232ВР</t>
  </si>
  <si>
    <t>78970155027720634</t>
  </si>
  <si>
    <t>15:45:00</t>
  </si>
  <si>
    <t>E GAS LPG</t>
  </si>
  <si>
    <t>15:43:00</t>
  </si>
  <si>
    <t>В2075СА</t>
  </si>
  <si>
    <t>78970155027720626</t>
  </si>
  <si>
    <t>17:24:00</t>
  </si>
  <si>
    <t>2026-04-01</t>
  </si>
  <si>
    <t>1119 Асеновград</t>
  </si>
  <si>
    <t>АУ6</t>
  </si>
  <si>
    <t>78970151027720146</t>
  </si>
  <si>
    <t>08:08:00</t>
  </si>
  <si>
    <t>1144 Пловдив Стамболийски</t>
  </si>
  <si>
    <t>АУ3</t>
  </si>
  <si>
    <t>78970151027720112</t>
  </si>
  <si>
    <t>08:12:00</t>
  </si>
  <si>
    <t>2026-04-02</t>
  </si>
  <si>
    <t>1907 О5 Пловдив</t>
  </si>
  <si>
    <t>АУ10</t>
  </si>
  <si>
    <t>78970151027720187</t>
  </si>
  <si>
    <t>18:02:00</t>
  </si>
  <si>
    <t>2026-04-03</t>
  </si>
  <si>
    <t>16:23:00</t>
  </si>
  <si>
    <t>2026-04-07</t>
  </si>
  <si>
    <t>АУ8</t>
  </si>
  <si>
    <t>78970151027720161</t>
  </si>
  <si>
    <t>09:43:00</t>
  </si>
  <si>
    <t>АУ5</t>
  </si>
  <si>
    <t>78970151027720138</t>
  </si>
  <si>
    <t>DIESEL DOUBLE FILTERED</t>
  </si>
  <si>
    <t>14:38:00</t>
  </si>
  <si>
    <t>2026-04-09</t>
  </si>
  <si>
    <t>АУ4</t>
  </si>
  <si>
    <t>78970151027720120</t>
  </si>
  <si>
    <t>15:02:00</t>
  </si>
  <si>
    <t>2026-04-16</t>
  </si>
  <si>
    <t>08:15:00</t>
  </si>
  <si>
    <t>2026-04-20</t>
  </si>
  <si>
    <t>14:54:00</t>
  </si>
  <si>
    <t>АУ1</t>
  </si>
  <si>
    <t>78970151027720096</t>
  </si>
  <si>
    <t>14:17:00</t>
  </si>
  <si>
    <t>2026-04-21</t>
  </si>
  <si>
    <t>08:53:00</t>
  </si>
  <si>
    <t>АУ2</t>
  </si>
  <si>
    <t>78970151027720104</t>
  </si>
  <si>
    <t>10:36:00</t>
  </si>
  <si>
    <t>2026-04-24</t>
  </si>
  <si>
    <t>2026-04-25</t>
  </si>
  <si>
    <t>1101 София Ихтиман</t>
  </si>
  <si>
    <t>14:14:00</t>
  </si>
  <si>
    <t>2026-04-28</t>
  </si>
  <si>
    <t>EKO RACING 100</t>
  </si>
  <si>
    <t>09:00:00</t>
  </si>
  <si>
    <t>11:00:00</t>
  </si>
  <si>
    <t>АУ9</t>
  </si>
  <si>
    <t>78970151027720179</t>
  </si>
  <si>
    <t>11:49:00</t>
  </si>
  <si>
    <t>08:04:00</t>
  </si>
  <si>
    <t>10:35:00</t>
  </si>
  <si>
    <t>1156 Добрич бул. Добруджа</t>
  </si>
  <si>
    <t>A1</t>
  </si>
  <si>
    <t>78970154027720199</t>
  </si>
  <si>
    <t>15:38:00</t>
  </si>
  <si>
    <t>16:39:00</t>
  </si>
  <si>
    <t>19:49:00</t>
  </si>
  <si>
    <t>12:25:00</t>
  </si>
  <si>
    <t>13:20:00</t>
  </si>
  <si>
    <t>1199 Varna Car Osvoboditel</t>
  </si>
  <si>
    <t>ДЛ3</t>
  </si>
  <si>
    <t>78970151027720534</t>
  </si>
  <si>
    <t>07:17:00</t>
  </si>
  <si>
    <t>2026-04-05</t>
  </si>
  <si>
    <t>10:39:00</t>
  </si>
  <si>
    <t>10:40:00</t>
  </si>
  <si>
    <t>07:22:00</t>
  </si>
  <si>
    <t>2026-04-08</t>
  </si>
  <si>
    <t>13:06:00</t>
  </si>
  <si>
    <t>08:32:00</t>
  </si>
  <si>
    <t>2026-04-15</t>
  </si>
  <si>
    <t>07:29:00</t>
  </si>
  <si>
    <t>1165 София К. Величков</t>
  </si>
  <si>
    <t>CB5768MA</t>
  </si>
  <si>
    <t>78970154027720223</t>
  </si>
  <si>
    <t>20:43:00</t>
  </si>
  <si>
    <t>21:14:00</t>
  </si>
  <si>
    <t>ТУБАБ1</t>
  </si>
  <si>
    <t>78970153027721033</t>
  </si>
  <si>
    <t>14:27:00</t>
  </si>
  <si>
    <t>14:15:00</t>
  </si>
  <si>
    <t>В6478ТМ</t>
  </si>
  <si>
    <t>78970153027721041</t>
  </si>
  <si>
    <t>23:13:00</t>
  </si>
  <si>
    <t>09:02:00</t>
  </si>
  <si>
    <t>14:01:00</t>
  </si>
  <si>
    <t>1911 O5 Варна</t>
  </si>
  <si>
    <t>В5575XK</t>
  </si>
  <si>
    <t>78970156027720491</t>
  </si>
  <si>
    <t>15:58:00</t>
  </si>
  <si>
    <t>2026-04-12</t>
  </si>
  <si>
    <t>14:57:00</t>
  </si>
  <si>
    <t>2026-04-14</t>
  </si>
  <si>
    <t>1105 Усойка</t>
  </si>
  <si>
    <t>:  :00</t>
  </si>
  <si>
    <t>14:28:00</t>
  </si>
  <si>
    <t>10:54:00</t>
  </si>
  <si>
    <t>2026-04-17</t>
  </si>
  <si>
    <t>09:58:00</t>
  </si>
  <si>
    <t>09:32:00</t>
  </si>
  <si>
    <t>13:24:00</t>
  </si>
  <si>
    <t>2026-04-23</t>
  </si>
  <si>
    <t>08:51:00</t>
  </si>
  <si>
    <t>08:55:00</t>
  </si>
  <si>
    <t>12:31:00</t>
  </si>
  <si>
    <t>10:10:00</t>
  </si>
  <si>
    <t>13:09:00</t>
  </si>
  <si>
    <t>2026-04-29</t>
  </si>
  <si>
    <t>08:56:00</t>
  </si>
  <si>
    <t>13:58:00</t>
  </si>
  <si>
    <t>ДЛ1</t>
  </si>
  <si>
    <t>78970151027720518</t>
  </si>
  <si>
    <t>17:36:00</t>
  </si>
  <si>
    <t>10:34:00</t>
  </si>
  <si>
    <t>2026-04-13</t>
  </si>
  <si>
    <t>11:45:00</t>
  </si>
  <si>
    <t>21:25:00</t>
  </si>
  <si>
    <t>21:24:00</t>
  </si>
  <si>
    <t>16:56:00</t>
  </si>
  <si>
    <t>2026-04-19</t>
  </si>
  <si>
    <t>20:56:00</t>
  </si>
  <si>
    <t>10:11:00</t>
  </si>
  <si>
    <t>ДЛ2</t>
  </si>
  <si>
    <t>78970151027720526</t>
  </si>
  <si>
    <t>17:31:00</t>
  </si>
  <si>
    <t>09:50:00</t>
  </si>
  <si>
    <t>07:07:00</t>
  </si>
  <si>
    <t>17:05:00</t>
  </si>
  <si>
    <t>07:16:00</t>
  </si>
  <si>
    <t>1184 София Дружба2</t>
  </si>
  <si>
    <t>СВ0901ОА</t>
  </si>
  <si>
    <t>78970156027720640</t>
  </si>
  <si>
    <t>14:49:00</t>
  </si>
  <si>
    <t>1194 Дунавци</t>
  </si>
  <si>
    <t>СВ8839НН</t>
  </si>
  <si>
    <t>78970156027720574</t>
  </si>
  <si>
    <t>15:08:00</t>
  </si>
  <si>
    <t>1925 HW Trakia, 243 km. Sofia direc</t>
  </si>
  <si>
    <t>СВ4064ХА</t>
  </si>
  <si>
    <t>78970156027720525</t>
  </si>
  <si>
    <t>14:02:00</t>
  </si>
  <si>
    <t>2026-04-06</t>
  </si>
  <si>
    <t>СВ0420ХМ</t>
  </si>
  <si>
    <t>78970156027720616</t>
  </si>
  <si>
    <t>15:56:00</t>
  </si>
  <si>
    <t>СВ7119КК</t>
  </si>
  <si>
    <t>78970156027720566</t>
  </si>
  <si>
    <t>08:54:00</t>
  </si>
  <si>
    <t>СВ5362ТН</t>
  </si>
  <si>
    <t>78970156027720590</t>
  </si>
  <si>
    <t>15:55:00</t>
  </si>
  <si>
    <t>16:03:00</t>
  </si>
  <si>
    <t>СА7292АВ</t>
  </si>
  <si>
    <t>78970156027720509</t>
  </si>
  <si>
    <t>12:38:00</t>
  </si>
  <si>
    <t>1916 О5 Ахелой</t>
  </si>
  <si>
    <t>11:06:00</t>
  </si>
  <si>
    <t>1917 бул. Асен Йорданов</t>
  </si>
  <si>
    <t>СА9195ММ</t>
  </si>
  <si>
    <t>78970156027720517</t>
  </si>
  <si>
    <t>15:17:00</t>
  </si>
  <si>
    <t>1120 Пловдив Радиново</t>
  </si>
  <si>
    <t>16:33:00</t>
  </si>
  <si>
    <t>1152 Бургас езеро</t>
  </si>
  <si>
    <t>11:59:00</t>
  </si>
  <si>
    <t>4 Л. ЛЯTHA TEЧHOCT ЗA ЧИCTAЧKИ ГOTOBA</t>
  </si>
  <si>
    <t>PC</t>
  </si>
  <si>
    <t>СВ2261ХН</t>
  </si>
  <si>
    <t>78970156027720608</t>
  </si>
  <si>
    <t>06:47:00</t>
  </si>
  <si>
    <t>СВ1088ЕО</t>
  </si>
  <si>
    <t>78970156027720632</t>
  </si>
  <si>
    <t>10:26:00</t>
  </si>
  <si>
    <t>1918 O5 Търговище</t>
  </si>
  <si>
    <t>14:18:00</t>
  </si>
  <si>
    <t>1163 София Ботевградско шосе</t>
  </si>
  <si>
    <t>СВ0422ХМ</t>
  </si>
  <si>
    <t>78970156027720624</t>
  </si>
  <si>
    <t>1908 О5 Стара Загора</t>
  </si>
  <si>
    <t>13:37:00</t>
  </si>
  <si>
    <t>11:13:00</t>
  </si>
  <si>
    <t>06:59:00</t>
  </si>
  <si>
    <t>СВ1283СТ</t>
  </si>
  <si>
    <t>78970156027720533</t>
  </si>
  <si>
    <t>11:02:00</t>
  </si>
  <si>
    <t>СВ7594АЕ</t>
  </si>
  <si>
    <t>78970156027720657</t>
  </si>
  <si>
    <t>09:07:00</t>
  </si>
  <si>
    <t>09:13:00</t>
  </si>
  <si>
    <t>11:43:00</t>
  </si>
  <si>
    <t>СВ4779СТ</t>
  </si>
  <si>
    <t>78970156027720558</t>
  </si>
  <si>
    <t>12:14:00</t>
  </si>
  <si>
    <t>1103 Велико Търново изход</t>
  </si>
  <si>
    <t>09:29:00</t>
  </si>
  <si>
    <t>09:09:00</t>
  </si>
  <si>
    <t>11:33:00</t>
  </si>
  <si>
    <t>10:31:00</t>
  </si>
  <si>
    <t>1901 София, Младост 4-ти км</t>
  </si>
  <si>
    <t>2026-04-22</t>
  </si>
  <si>
    <t>15:37:00</t>
  </si>
  <si>
    <t>13:52:00</t>
  </si>
  <si>
    <t>10L ADPLUS DIESEL ADDITIVE</t>
  </si>
  <si>
    <t>СВ2114НН</t>
  </si>
  <si>
    <t>78970156027720541</t>
  </si>
  <si>
    <t>12:26:00</t>
  </si>
  <si>
    <t>1112 София Резбарска</t>
  </si>
  <si>
    <t>11:48:00</t>
  </si>
  <si>
    <t>BLISTER 64210 H7 55W 12V PX26D 01B</t>
  </si>
  <si>
    <t>13:59:00</t>
  </si>
  <si>
    <t>1185 София Дружба 1</t>
  </si>
  <si>
    <t>10:13:00</t>
  </si>
  <si>
    <t>11:55:00</t>
  </si>
  <si>
    <t>ADBLUE 1L</t>
  </si>
  <si>
    <t>1127 Благоевград</t>
  </si>
  <si>
    <t>11:28:00</t>
  </si>
  <si>
    <t>11:34:00</t>
  </si>
  <si>
    <t>5Л. ДOБABKA ADBLUE ДИЗEЛOBИ ДBИГATEЛИ</t>
  </si>
  <si>
    <t>07:11:00</t>
  </si>
  <si>
    <t>СВ3481ХА</t>
  </si>
  <si>
    <t>78970156027720582</t>
  </si>
  <si>
    <t>08:42:00</t>
  </si>
  <si>
    <t>15:19:00</t>
  </si>
  <si>
    <t>15:21:00</t>
  </si>
  <si>
    <t>08:18:00</t>
  </si>
  <si>
    <t>12:32:00</t>
  </si>
  <si>
    <t>15:36:00</t>
  </si>
  <si>
    <t>СВ0660ТР</t>
  </si>
  <si>
    <t>78970156027720665</t>
  </si>
  <si>
    <t>19:10:00</t>
  </si>
  <si>
    <t>СВ0481НН</t>
  </si>
  <si>
    <t>78970156027720798</t>
  </si>
  <si>
    <t>21:15:00</t>
  </si>
  <si>
    <t>1902 София, О5 Малинова Долина</t>
  </si>
  <si>
    <t>СВ2104ТЕ</t>
  </si>
  <si>
    <t>78970156027720699</t>
  </si>
  <si>
    <t>19:16:00</t>
  </si>
  <si>
    <t>1195 243 Тракия Езеро</t>
  </si>
  <si>
    <t>СВ9296ВЕ</t>
  </si>
  <si>
    <t>78970156027720756</t>
  </si>
  <si>
    <t>15:06:00</t>
  </si>
  <si>
    <t>1910 О5 Бургас</t>
  </si>
  <si>
    <t>СВ8778ВР</t>
  </si>
  <si>
    <t>78970156027720673</t>
  </si>
  <si>
    <t>AIR-FRESHENER AREON PARFUME</t>
  </si>
  <si>
    <t>AREON VIP AIR FRESHENER</t>
  </si>
  <si>
    <t>СВ4298ТА</t>
  </si>
  <si>
    <t>78970156027720780</t>
  </si>
  <si>
    <t>10:23:00</t>
  </si>
  <si>
    <t>1172 Русе Шелф</t>
  </si>
  <si>
    <t>СВ4297ТА</t>
  </si>
  <si>
    <t>78970156027720772</t>
  </si>
  <si>
    <t>10:20:00</t>
  </si>
  <si>
    <t>СВ2318ХТ</t>
  </si>
  <si>
    <t>78970156027720715</t>
  </si>
  <si>
    <t>10:52:00</t>
  </si>
  <si>
    <t>1903 София, О5 Царско село</t>
  </si>
  <si>
    <t>06:40:00</t>
  </si>
  <si>
    <t>16:43:00</t>
  </si>
  <si>
    <t>1198 Struma Highway</t>
  </si>
  <si>
    <t>СВ5666НВ</t>
  </si>
  <si>
    <t>78970156027720731</t>
  </si>
  <si>
    <t>15:00:00</t>
  </si>
  <si>
    <t>11:35:00</t>
  </si>
  <si>
    <t>18:17:00</t>
  </si>
  <si>
    <t>1131 София Бояна</t>
  </si>
  <si>
    <t>18:52:00</t>
  </si>
  <si>
    <t>1192 София, Младост Ал. Малинов</t>
  </si>
  <si>
    <t>19:44:00</t>
  </si>
  <si>
    <t>1122 София Борис III</t>
  </si>
  <si>
    <t>17:54:00</t>
  </si>
  <si>
    <t>16:24:00</t>
  </si>
  <si>
    <t>1145 София Вапцаров</t>
  </si>
  <si>
    <t>19:08:00</t>
  </si>
  <si>
    <t>1160 София бул. България</t>
  </si>
  <si>
    <t>15:12:00</t>
  </si>
  <si>
    <t>1173 Ямбол</t>
  </si>
  <si>
    <t>СВ9610НА</t>
  </si>
  <si>
    <t>78970156027720814</t>
  </si>
  <si>
    <t>10:00:00</t>
  </si>
  <si>
    <t>2026-04-10</t>
  </si>
  <si>
    <t>07:41:00</t>
  </si>
  <si>
    <t>СА5061ХС</t>
  </si>
  <si>
    <t>78970156027720723</t>
  </si>
  <si>
    <t>10:08:00</t>
  </si>
  <si>
    <t>СВ7887РН</t>
  </si>
  <si>
    <t>78970156027720681</t>
  </si>
  <si>
    <t>17:18:00</t>
  </si>
  <si>
    <t>2026-04-11</t>
  </si>
  <si>
    <t>20:29:00</t>
  </si>
  <si>
    <t>11:25:00</t>
  </si>
  <si>
    <t>1118 Сливен Била</t>
  </si>
  <si>
    <t>17:23:00</t>
  </si>
  <si>
    <t>09:44:00</t>
  </si>
  <si>
    <t>18:35:00</t>
  </si>
  <si>
    <t>08:10:00</t>
  </si>
  <si>
    <t>19:07:00</t>
  </si>
  <si>
    <t>18:10:00</t>
  </si>
  <si>
    <t>09:37:00</t>
  </si>
  <si>
    <t>09:23:00</t>
  </si>
  <si>
    <t>08:41:00</t>
  </si>
  <si>
    <t>СВ7717МО</t>
  </si>
  <si>
    <t>78970156027720707</t>
  </si>
  <si>
    <t>12:49:00</t>
  </si>
  <si>
    <t>22:42:00</t>
  </si>
  <si>
    <t>08:16:00</t>
  </si>
  <si>
    <t>10:21:00</t>
  </si>
  <si>
    <t>2L SUMMER SCREEN WASH LIQUID</t>
  </si>
  <si>
    <t>18:14:00</t>
  </si>
  <si>
    <t>1157 Пловдив Тракия</t>
  </si>
  <si>
    <t>16:31:00</t>
  </si>
  <si>
    <t>20:38:00</t>
  </si>
  <si>
    <t>1110 Петрич вход</t>
  </si>
  <si>
    <t>16:50:00</t>
  </si>
  <si>
    <t>07:58:00</t>
  </si>
  <si>
    <t>15:28:00</t>
  </si>
  <si>
    <t>10:49:00</t>
  </si>
  <si>
    <t>1183 София Чепинци</t>
  </si>
  <si>
    <t>17:28:00</t>
  </si>
  <si>
    <t>1186 Севлиево</t>
  </si>
  <si>
    <t>15:26:00</t>
  </si>
  <si>
    <t>15:29:00</t>
  </si>
  <si>
    <t>17:27:00</t>
  </si>
  <si>
    <t>14:52:00</t>
  </si>
  <si>
    <t>08:31:00</t>
  </si>
  <si>
    <t>1168 Горна Оряховица</t>
  </si>
  <si>
    <t>15:18:00</t>
  </si>
  <si>
    <t>2026-04-26</t>
  </si>
  <si>
    <t>18:54:00</t>
  </si>
  <si>
    <t>15:30:00</t>
  </si>
  <si>
    <t>17:35:00</t>
  </si>
  <si>
    <t>21:56:00</t>
  </si>
  <si>
    <t>21:29:00</t>
  </si>
  <si>
    <t>СВ2578КК</t>
  </si>
  <si>
    <t>78970156027720806</t>
  </si>
  <si>
    <t>11:58:00</t>
  </si>
  <si>
    <t>10:30:00</t>
  </si>
  <si>
    <t>07:26:00</t>
  </si>
  <si>
    <t>СВ2394АО</t>
  </si>
  <si>
    <t>78970153027721264</t>
  </si>
  <si>
    <t>11:46:00</t>
  </si>
  <si>
    <t>09:08:00</t>
  </si>
  <si>
    <t>1167 В. Търново вход</t>
  </si>
  <si>
    <t>12:04:00</t>
  </si>
  <si>
    <t>08:07:00</t>
  </si>
  <si>
    <t>15:20:00</t>
  </si>
  <si>
    <t>10:59:00</t>
  </si>
  <si>
    <t>11:30:00</t>
  </si>
  <si>
    <t>СВ0202КЕ</t>
  </si>
  <si>
    <t>78970153027721249</t>
  </si>
  <si>
    <t>12:29:00</t>
  </si>
  <si>
    <t>15:03:00</t>
  </si>
  <si>
    <t>12:37:00</t>
  </si>
  <si>
    <t>16:48:00</t>
  </si>
  <si>
    <t>14:45:00</t>
  </si>
  <si>
    <t>СВ9499ХВ</t>
  </si>
  <si>
    <t>78970153027721231</t>
  </si>
  <si>
    <t>12:17:00</t>
  </si>
  <si>
    <t>18:21:00</t>
  </si>
  <si>
    <t>1133 Кресна Е 79</t>
  </si>
  <si>
    <t>СВ6789ХА</t>
  </si>
  <si>
    <t>78970153027721223</t>
  </si>
  <si>
    <t>09:30:00</t>
  </si>
  <si>
    <t>21:07:00</t>
  </si>
  <si>
    <t>СВ6868РО</t>
  </si>
  <si>
    <t>78970153027721256</t>
  </si>
  <si>
    <t>10:46:00</t>
  </si>
  <si>
    <t>16:49:00</t>
  </si>
  <si>
    <t>14</t>
  </si>
  <si>
    <t>78970110027720142</t>
  </si>
  <si>
    <t>10:37:00</t>
  </si>
  <si>
    <t>12</t>
  </si>
  <si>
    <t>78970110027720126</t>
  </si>
  <si>
    <t>10:42:00</t>
  </si>
  <si>
    <t>4</t>
  </si>
  <si>
    <t>78970110027720043</t>
  </si>
  <si>
    <t>09:47:00</t>
  </si>
  <si>
    <t>1161 София Шипченски проход</t>
  </si>
  <si>
    <t>2</t>
  </si>
  <si>
    <t>78970110027720027</t>
  </si>
  <si>
    <t>9</t>
  </si>
  <si>
    <t>78970110027720092</t>
  </si>
  <si>
    <t>5L SONAX WINTER SCREENWASH - READY</t>
  </si>
  <si>
    <t>2026-04-04</t>
  </si>
  <si>
    <t>3</t>
  </si>
  <si>
    <t>78970110027720035</t>
  </si>
  <si>
    <t>16:26:00</t>
  </si>
  <si>
    <t>1136 Димитровград Д. Благоев</t>
  </si>
  <si>
    <t>7</t>
  </si>
  <si>
    <t>78970110027720076</t>
  </si>
  <si>
    <t>17:02:00</t>
  </si>
  <si>
    <t>19:56:00</t>
  </si>
  <si>
    <t>11</t>
  </si>
  <si>
    <t>78970110027720118</t>
  </si>
  <si>
    <t>12:13:00</t>
  </si>
  <si>
    <t>8</t>
  </si>
  <si>
    <t>78970110027720084</t>
  </si>
  <si>
    <t>20:03:00</t>
  </si>
  <si>
    <t>17:40:00</t>
  </si>
  <si>
    <t>18</t>
  </si>
  <si>
    <t>78970110027720233</t>
  </si>
  <si>
    <t>1117 София Черни Връх</t>
  </si>
  <si>
    <t>13:56:00</t>
  </si>
  <si>
    <t>11:07:00</t>
  </si>
  <si>
    <t>19:28:00</t>
  </si>
  <si>
    <t>2026-04-18</t>
  </si>
  <si>
    <t>09:11:00</t>
  </si>
  <si>
    <t>18:49:00</t>
  </si>
  <si>
    <t>18:29:00</t>
  </si>
  <si>
    <t>09:06:00</t>
  </si>
  <si>
    <t>1106 Пловдив В. Априлов</t>
  </si>
  <si>
    <t>08:37:00</t>
  </si>
  <si>
    <t>10:07:00</t>
  </si>
  <si>
    <t>10:44:00</t>
  </si>
  <si>
    <t>1914 О5, Плевен</t>
  </si>
  <si>
    <t>15</t>
  </si>
  <si>
    <t>78970110027720159</t>
  </si>
  <si>
    <t>19:02:00</t>
  </si>
  <si>
    <t>10:33:00</t>
  </si>
  <si>
    <t>6</t>
  </si>
  <si>
    <t>78970110027720068</t>
  </si>
  <si>
    <t>10:09:00</t>
  </si>
  <si>
    <t>11:40:00</t>
  </si>
  <si>
    <t>1188 Перник, Стомана</t>
  </si>
  <si>
    <t>20:17:00</t>
  </si>
  <si>
    <t>В3155НС</t>
  </si>
  <si>
    <t>78970154027720108</t>
  </si>
  <si>
    <t>19:12:00</t>
  </si>
  <si>
    <t>В8191ВХ</t>
  </si>
  <si>
    <t>78970154027720090</t>
  </si>
  <si>
    <t>09:14:00</t>
  </si>
  <si>
    <t>20:07:00</t>
  </si>
  <si>
    <t>В2487ВН</t>
  </si>
  <si>
    <t>78970154027720116</t>
  </si>
  <si>
    <t>06:21:00</t>
  </si>
  <si>
    <t>17:39:00</t>
  </si>
  <si>
    <t>19:25:00</t>
  </si>
  <si>
    <t>14:41:00</t>
  </si>
  <si>
    <t>16:19:00</t>
  </si>
  <si>
    <t>15:49:00</t>
  </si>
  <si>
    <t>18:18:00</t>
  </si>
  <si>
    <t>17:59:00</t>
  </si>
  <si>
    <t>В9479ХЕ</t>
  </si>
  <si>
    <t>78970153027721413</t>
  </si>
  <si>
    <t>17:29:00</t>
  </si>
  <si>
    <t>ТубаД</t>
  </si>
  <si>
    <t>78970153027721421</t>
  </si>
  <si>
    <t>14:29:00</t>
  </si>
  <si>
    <t>19:29:00</t>
  </si>
  <si>
    <t>06:50:00</t>
  </si>
  <si>
    <t>B0264TE</t>
  </si>
  <si>
    <t>78970153027720829</t>
  </si>
  <si>
    <t>1158 Варна Чайка</t>
  </si>
  <si>
    <t>14:13:00</t>
  </si>
  <si>
    <t>B0128XB</t>
  </si>
  <si>
    <t>78970153027720811</t>
  </si>
  <si>
    <t>11:09:00</t>
  </si>
  <si>
    <t>В8362ХЕ</t>
  </si>
  <si>
    <t>78970153027720985</t>
  </si>
  <si>
    <t>09:38:00</t>
  </si>
  <si>
    <t>10 Л. ДOБABKA ADBLUE ДИЗEЛOBИ ДBИГATEЛИ</t>
  </si>
  <si>
    <t>09:01:00</t>
  </si>
  <si>
    <t>B5579XA</t>
  </si>
  <si>
    <t>78970153027720803</t>
  </si>
  <si>
    <t>07:57:00</t>
  </si>
  <si>
    <t>13:38:00</t>
  </si>
  <si>
    <t>08:57:00</t>
  </si>
  <si>
    <t>16:15:00</t>
  </si>
  <si>
    <t>11:01:00</t>
  </si>
  <si>
    <t>B8719BH</t>
  </si>
  <si>
    <t>78970153027720837</t>
  </si>
  <si>
    <t>16:16:00</t>
  </si>
  <si>
    <t>09:16:00</t>
  </si>
  <si>
    <t>12:39:00</t>
  </si>
  <si>
    <t>В1420ТН</t>
  </si>
  <si>
    <t>78970152027720011</t>
  </si>
  <si>
    <t>1</t>
  </si>
  <si>
    <t>78970152027720045</t>
  </si>
  <si>
    <t>78970152027720052</t>
  </si>
  <si>
    <t>12:52:00</t>
  </si>
  <si>
    <t>10:48:00</t>
  </si>
  <si>
    <t>21:50:00</t>
  </si>
  <si>
    <t>19:26:00</t>
  </si>
  <si>
    <t>13:23:00</t>
  </si>
  <si>
    <t>16:35:00</t>
  </si>
  <si>
    <t>В9263РМ</t>
  </si>
  <si>
    <t>78970152027720029</t>
  </si>
  <si>
    <t>20:23:00</t>
  </si>
  <si>
    <t>В6282ТT</t>
  </si>
  <si>
    <t>78970152027720128</t>
  </si>
  <si>
    <t>В0191ВВ</t>
  </si>
  <si>
    <t>78970152027720094</t>
  </si>
  <si>
    <t>В1971ТТ</t>
  </si>
  <si>
    <t>78970152027720078</t>
  </si>
  <si>
    <t>15:32:00</t>
  </si>
  <si>
    <t>В6202ВС</t>
  </si>
  <si>
    <t>78970152027720086</t>
  </si>
  <si>
    <t>14:00:00</t>
  </si>
  <si>
    <t>21:34:00</t>
  </si>
  <si>
    <t>19:30:00</t>
  </si>
  <si>
    <t>14:39:00</t>
  </si>
  <si>
    <t>17:50:00</t>
  </si>
  <si>
    <t>B6386HH</t>
  </si>
  <si>
    <t>78970155027721301</t>
  </si>
  <si>
    <t>13:48:00</t>
  </si>
  <si>
    <t>B8917BP</t>
  </si>
  <si>
    <t>78970155027721269</t>
  </si>
  <si>
    <t>B4160TK</t>
  </si>
  <si>
    <t>78970155027721293</t>
  </si>
  <si>
    <t>13:21:00</t>
  </si>
  <si>
    <t>B4161TK</t>
  </si>
  <si>
    <t>78970155027721285</t>
  </si>
  <si>
    <t>13:08:00</t>
  </si>
  <si>
    <t>B2207PP</t>
  </si>
  <si>
    <t>78970155027721178</t>
  </si>
  <si>
    <t>1912 O5, Шумен 1</t>
  </si>
  <si>
    <t>В3681НТ</t>
  </si>
  <si>
    <t>78970153027720910</t>
  </si>
  <si>
    <t>18:28:00</t>
  </si>
  <si>
    <t>B7114TX</t>
  </si>
  <si>
    <t>78970153027720977</t>
  </si>
  <si>
    <t>B9419TE</t>
  </si>
  <si>
    <t>78970153027720944</t>
  </si>
  <si>
    <t>В8446ТА</t>
  </si>
  <si>
    <t>78970153027720902</t>
  </si>
  <si>
    <t>14:32:00</t>
  </si>
  <si>
    <t>В9722ВК</t>
  </si>
  <si>
    <t>78970153027720894</t>
  </si>
  <si>
    <t>15:50:00</t>
  </si>
  <si>
    <t>ETP</t>
  </si>
  <si>
    <t>78970153027720886</t>
  </si>
  <si>
    <t>15:04:00</t>
  </si>
  <si>
    <t>1178 Русе, бул. България</t>
  </si>
  <si>
    <t>Р7826КН</t>
  </si>
  <si>
    <t>78970110027720183</t>
  </si>
  <si>
    <t>15:15:00</t>
  </si>
  <si>
    <t>1190 Враца</t>
  </si>
  <si>
    <t>18:05:00</t>
  </si>
  <si>
    <t>09:53:00</t>
  </si>
  <si>
    <t>Р9581МА</t>
  </si>
  <si>
    <t>78970153027721017</t>
  </si>
  <si>
    <t>20:18:00</t>
  </si>
  <si>
    <t>22:19:00</t>
  </si>
  <si>
    <t>20:58:00</t>
  </si>
  <si>
    <t>21:30:00</t>
  </si>
  <si>
    <t>СВ2201СС</t>
  </si>
  <si>
    <t>78970110027720415</t>
  </si>
  <si>
    <t>06:08:00</t>
  </si>
  <si>
    <t>09:57:00</t>
  </si>
  <si>
    <t>05:30:00</t>
  </si>
  <si>
    <t>05:21:00</t>
  </si>
  <si>
    <t>15:10:00</t>
  </si>
  <si>
    <t>17:25:00</t>
  </si>
  <si>
    <t>06:26:00</t>
  </si>
  <si>
    <t>12:44:00</t>
  </si>
  <si>
    <t>22:47:00</t>
  </si>
  <si>
    <t>1139 София Ломско шосе</t>
  </si>
  <si>
    <t>12:45:00</t>
  </si>
  <si>
    <t>Р2947КН</t>
  </si>
  <si>
    <t>78970110027720175</t>
  </si>
  <si>
    <t>14:19:00</t>
  </si>
  <si>
    <t>20:36:00</t>
  </si>
  <si>
    <t>16:07:00</t>
  </si>
  <si>
    <t>18:36:00</t>
  </si>
  <si>
    <t>1134 Монтана</t>
  </si>
  <si>
    <t>21:02:00</t>
  </si>
  <si>
    <t>12:55:00</t>
  </si>
  <si>
    <t>16:36:00</t>
  </si>
  <si>
    <t>18:39:00</t>
  </si>
  <si>
    <t>12:23:00</t>
  </si>
  <si>
    <t>16</t>
  </si>
  <si>
    <t>78970110027720217</t>
  </si>
  <si>
    <t>11:20:00</t>
  </si>
  <si>
    <t>В3931НА</t>
  </si>
  <si>
    <t>78970151027720021</t>
  </si>
  <si>
    <t>07:19:00</t>
  </si>
  <si>
    <t>В0922ТК</t>
  </si>
  <si>
    <t>78970151027720054</t>
  </si>
  <si>
    <t>В3164НА</t>
  </si>
  <si>
    <t>78970151027720039</t>
  </si>
  <si>
    <t>07:43:00</t>
  </si>
  <si>
    <t>07:21:00</t>
  </si>
  <si>
    <t>17:08:00</t>
  </si>
  <si>
    <t>В0470НР</t>
  </si>
  <si>
    <t>78970151027720047</t>
  </si>
  <si>
    <t>17:14:00</t>
  </si>
  <si>
    <t>17:01:00</t>
  </si>
  <si>
    <t>18:42:00</t>
  </si>
  <si>
    <t>09:40:00</t>
  </si>
  <si>
    <t>16:59:00</t>
  </si>
  <si>
    <t>B0847TK</t>
  </si>
  <si>
    <t>78970153027720878</t>
  </si>
  <si>
    <t>13:15:00</t>
  </si>
  <si>
    <t>В2968XB</t>
  </si>
  <si>
    <t>78970153027720845</t>
  </si>
  <si>
    <t>15:59:00</t>
  </si>
  <si>
    <t>СB6072HO</t>
  </si>
  <si>
    <t>78970153027720852</t>
  </si>
  <si>
    <t>12:51:00</t>
  </si>
  <si>
    <t>19:22:00</t>
  </si>
  <si>
    <t>18:03:00</t>
  </si>
  <si>
    <t>09:49:00</t>
  </si>
  <si>
    <t>15:41:00</t>
  </si>
  <si>
    <t>ТХ6051МТ</t>
  </si>
  <si>
    <t>78970153027720688</t>
  </si>
  <si>
    <t>18:33:00</t>
  </si>
  <si>
    <t>17:20:00</t>
  </si>
  <si>
    <t>ЗТ3</t>
  </si>
  <si>
    <t>78970153027720712</t>
  </si>
  <si>
    <t>14:36:00</t>
  </si>
  <si>
    <t>09:18:00</t>
  </si>
  <si>
    <t>07:28:00</t>
  </si>
  <si>
    <t>23:06:00</t>
  </si>
  <si>
    <t>ЗТ1</t>
  </si>
  <si>
    <t>78970153027720696</t>
  </si>
  <si>
    <t>B1648HH</t>
  </si>
  <si>
    <t>78970151027720070</t>
  </si>
  <si>
    <t>13:22:00</t>
  </si>
  <si>
    <t>B3211HA</t>
  </si>
  <si>
    <t>78970151027720088</t>
  </si>
  <si>
    <t>13:00:00</t>
  </si>
  <si>
    <t>B1628TM</t>
  </si>
  <si>
    <t>78970151027720062</t>
  </si>
  <si>
    <t>18:07:00</t>
  </si>
  <si>
    <t>10:12:00</t>
  </si>
  <si>
    <t>ДЛ5</t>
  </si>
  <si>
    <t>78970151027720559</t>
  </si>
  <si>
    <t>17:56:00</t>
  </si>
  <si>
    <t>17:55:00</t>
  </si>
  <si>
    <t>1164 София Д. Богров</t>
  </si>
  <si>
    <t>20:04:00</t>
  </si>
  <si>
    <t>07:47:00</t>
  </si>
  <si>
    <t>КТ1</t>
  </si>
  <si>
    <t>78970153027720639</t>
  </si>
  <si>
    <t>16:08:00</t>
  </si>
  <si>
    <t>ТХ7410АК</t>
  </si>
  <si>
    <t>78970153027720621</t>
  </si>
  <si>
    <t>12:02:00</t>
  </si>
  <si>
    <t>В0583ВТ</t>
  </si>
  <si>
    <t>78970155027721806</t>
  </si>
  <si>
    <t>10:01:00</t>
  </si>
  <si>
    <t>10:03:00</t>
  </si>
  <si>
    <t>ТубаКам1</t>
  </si>
  <si>
    <t>78970155027720824</t>
  </si>
  <si>
    <t>11:31:00</t>
  </si>
  <si>
    <t>В3914РТ</t>
  </si>
  <si>
    <t>78970155027720816</t>
  </si>
  <si>
    <t>12:16:00</t>
  </si>
  <si>
    <t>В0587ВТ</t>
  </si>
  <si>
    <t>78970155027720832</t>
  </si>
  <si>
    <t>09:54:00</t>
  </si>
  <si>
    <t>14:25:00</t>
  </si>
  <si>
    <t>13</t>
  </si>
  <si>
    <t>78970110027720134</t>
  </si>
  <si>
    <t>15:57:00</t>
  </si>
  <si>
    <t>07:30:00</t>
  </si>
  <si>
    <t>1904 София, О5 Княжево</t>
  </si>
  <si>
    <t>13:25:00</t>
  </si>
  <si>
    <t>В8972ВР</t>
  </si>
  <si>
    <t>78970155027721343</t>
  </si>
  <si>
    <t>09:12:00</t>
  </si>
  <si>
    <t>В5832ХЕ</t>
  </si>
  <si>
    <t>78970155027720352</t>
  </si>
  <si>
    <t>В6367ТА</t>
  </si>
  <si>
    <t>78970155027720378</t>
  </si>
  <si>
    <t>1124 Плевен Христо Ботев</t>
  </si>
  <si>
    <t>BT7798KT</t>
  </si>
  <si>
    <t>78970154027720595</t>
  </si>
  <si>
    <t>EB0156BB</t>
  </si>
  <si>
    <t>78970154027720629</t>
  </si>
  <si>
    <t>08:30:00</t>
  </si>
  <si>
    <t>BT6267KP</t>
  </si>
  <si>
    <t>78970154027720348</t>
  </si>
  <si>
    <t>EB5026BP</t>
  </si>
  <si>
    <t>78970154027720421</t>
  </si>
  <si>
    <t>EB2916AT</t>
  </si>
  <si>
    <t>78970154027720652</t>
  </si>
  <si>
    <t>1151 Пловдив, бул. България</t>
  </si>
  <si>
    <t>ЕВ4745АТ</t>
  </si>
  <si>
    <t>78970154027720561</t>
  </si>
  <si>
    <t>08:11:00</t>
  </si>
  <si>
    <t>BT7796KT</t>
  </si>
  <si>
    <t>78970154027720587</t>
  </si>
  <si>
    <t>08:27:00</t>
  </si>
  <si>
    <t>15:47:00</t>
  </si>
  <si>
    <t>BT7800KT</t>
  </si>
  <si>
    <t>78970154027720603</t>
  </si>
  <si>
    <t>EB2407BB</t>
  </si>
  <si>
    <t>78970154027720645</t>
  </si>
  <si>
    <t>BT6270KP</t>
  </si>
  <si>
    <t>78970154027720363</t>
  </si>
  <si>
    <t>08:34:00</t>
  </si>
  <si>
    <t>BT7814KT</t>
  </si>
  <si>
    <t>78970154027720611</t>
  </si>
  <si>
    <t>07:06:00</t>
  </si>
  <si>
    <t>EB3426BB</t>
  </si>
  <si>
    <t>78970154027720660</t>
  </si>
  <si>
    <t>BT6272KP</t>
  </si>
  <si>
    <t>78970154027720389</t>
  </si>
  <si>
    <t>EB5362BB</t>
  </si>
  <si>
    <t>78970154027720454</t>
  </si>
  <si>
    <t>10:29:00</t>
  </si>
  <si>
    <t>13:27:00</t>
  </si>
  <si>
    <t>BT6273KP</t>
  </si>
  <si>
    <t>78970154027720397</t>
  </si>
  <si>
    <t>1179 Русе, Липник</t>
  </si>
  <si>
    <t>BT6271KP</t>
  </si>
  <si>
    <t>78970154027720371</t>
  </si>
  <si>
    <t>12:36:00</t>
  </si>
  <si>
    <t>EB0679BC</t>
  </si>
  <si>
    <t>78970153027721025</t>
  </si>
  <si>
    <t>13:55:00</t>
  </si>
  <si>
    <t>1915 O5 Сливен</t>
  </si>
  <si>
    <t>09:34:00</t>
  </si>
  <si>
    <t>EB1481BA</t>
  </si>
  <si>
    <t>78970154027720496</t>
  </si>
  <si>
    <t>1102 Стара Загора вход</t>
  </si>
  <si>
    <t>10:47:00</t>
  </si>
  <si>
    <t>MPP2</t>
  </si>
  <si>
    <t>78970154027720710</t>
  </si>
  <si>
    <t>14:20:00</t>
  </si>
  <si>
    <t>BT7795KT</t>
  </si>
  <si>
    <t>78970154027720579</t>
  </si>
  <si>
    <t>BT6269KP</t>
  </si>
  <si>
    <t>78970154027720355</t>
  </si>
  <si>
    <t>1166 Своге</t>
  </si>
  <si>
    <t>EB7210BA</t>
  </si>
  <si>
    <t>78970154027720686</t>
  </si>
  <si>
    <t>08:13:00</t>
  </si>
  <si>
    <t>14:05:00</t>
  </si>
  <si>
    <t>08:17:00</t>
  </si>
  <si>
    <t>1927 Пирдоп</t>
  </si>
  <si>
    <t>10:56:00</t>
  </si>
  <si>
    <t>11:18:00</t>
  </si>
  <si>
    <t>EB1250BK</t>
  </si>
  <si>
    <t>78970154027720637</t>
  </si>
  <si>
    <t>08:00:00</t>
  </si>
  <si>
    <t>EB6648AT</t>
  </si>
  <si>
    <t>78970154027720538</t>
  </si>
  <si>
    <t>11:39:00</t>
  </si>
  <si>
    <t>EB1778BA</t>
  </si>
  <si>
    <t>78970154027720504</t>
  </si>
  <si>
    <t>17:47:00</t>
  </si>
  <si>
    <t>07:55:00</t>
  </si>
  <si>
    <t>14:56:00</t>
  </si>
  <si>
    <t>13:44:00</t>
  </si>
  <si>
    <t>1193 Казанлък</t>
  </si>
  <si>
    <t>EB2145AT</t>
  </si>
  <si>
    <t>78970154027720439</t>
  </si>
  <si>
    <t>12:53:00</t>
  </si>
  <si>
    <t>14:08:00</t>
  </si>
  <si>
    <t>08:23:00</t>
  </si>
  <si>
    <t>12:12:00</t>
  </si>
  <si>
    <t>1909 О5, Хасково</t>
  </si>
  <si>
    <t>17:09:00</t>
  </si>
  <si>
    <t>09:05:00</t>
  </si>
  <si>
    <t>11:05:00</t>
  </si>
  <si>
    <t>09:24:00</t>
  </si>
  <si>
    <t>16:30:00</t>
  </si>
  <si>
    <t>12:24:00</t>
  </si>
  <si>
    <t>10:04:00</t>
  </si>
  <si>
    <t>09:21:00</t>
  </si>
  <si>
    <t>1924 Stara Zagora, Khan Asparuh</t>
  </si>
  <si>
    <t>MPP1</t>
  </si>
  <si>
    <t>78970154027720702</t>
  </si>
  <si>
    <t>09:28:00</t>
  </si>
  <si>
    <t>11:57:00</t>
  </si>
  <si>
    <t>07:59:00</t>
  </si>
  <si>
    <t>09:19:00</t>
  </si>
  <si>
    <t>10:28:00</t>
  </si>
  <si>
    <t>08:26:00</t>
  </si>
  <si>
    <t>11:10:00</t>
  </si>
  <si>
    <t>AIR-FRESHENER AREON MON XXL</t>
  </si>
  <si>
    <t>EB4092AX</t>
  </si>
  <si>
    <t>78970154027720553</t>
  </si>
  <si>
    <t>14:07:00</t>
  </si>
  <si>
    <t>18:31:00</t>
  </si>
  <si>
    <t>15:23:00</t>
  </si>
  <si>
    <t>07:45:00</t>
  </si>
  <si>
    <t>16:02:00</t>
  </si>
  <si>
    <t>18:30:00</t>
  </si>
  <si>
    <t>СА3341ХТ</t>
  </si>
  <si>
    <t>78970154027720033</t>
  </si>
  <si>
    <t>20:22:00</t>
  </si>
  <si>
    <t>СВ6128КЕ</t>
  </si>
  <si>
    <t>78970154027720751</t>
  </si>
  <si>
    <t>СА6443СК</t>
  </si>
  <si>
    <t>78970154027720066</t>
  </si>
  <si>
    <t>19:40:00</t>
  </si>
  <si>
    <t>10:05:00</t>
  </si>
  <si>
    <t>СВ8488ХА</t>
  </si>
  <si>
    <t>78970154027720082</t>
  </si>
  <si>
    <t>СА7846ХР</t>
  </si>
  <si>
    <t>78970154027720041</t>
  </si>
  <si>
    <t>16:44:00</t>
  </si>
  <si>
    <t>1150 Пловдив, Пещерско шосе</t>
  </si>
  <si>
    <t>СВ4351КТ</t>
  </si>
  <si>
    <t>78970154027720058</t>
  </si>
  <si>
    <t>13:03:00</t>
  </si>
  <si>
    <t>16:06:00</t>
  </si>
  <si>
    <t>В2852РК</t>
  </si>
  <si>
    <t>78970155027721442</t>
  </si>
  <si>
    <t>В4582РР</t>
  </si>
  <si>
    <t>78970155027721475</t>
  </si>
  <si>
    <t>16:11:00</t>
  </si>
  <si>
    <t>В9347РН</t>
  </si>
  <si>
    <t>78970155027721731</t>
  </si>
  <si>
    <t>В7230ВР</t>
  </si>
  <si>
    <t>78970155027721574</t>
  </si>
  <si>
    <t>В8978ВР</t>
  </si>
  <si>
    <t>78970155027721699</t>
  </si>
  <si>
    <t>В6049НХ</t>
  </si>
  <si>
    <t>78970155027721509</t>
  </si>
  <si>
    <t>В0804ТР</t>
  </si>
  <si>
    <t>78970155027722655</t>
  </si>
  <si>
    <t>В0592ВТ</t>
  </si>
  <si>
    <t>78970155027722622</t>
  </si>
  <si>
    <t>09:25:00</t>
  </si>
  <si>
    <t>В7242ВР</t>
  </si>
  <si>
    <t>78970155027721616</t>
  </si>
  <si>
    <t>СлужебнаОВ1</t>
  </si>
  <si>
    <t>78970155027721764</t>
  </si>
  <si>
    <t>14:30:00</t>
  </si>
  <si>
    <t>07:04:00</t>
  </si>
  <si>
    <t>1141 Благоевград Център</t>
  </si>
  <si>
    <t>В6512КС</t>
  </si>
  <si>
    <t>78970155027721525</t>
  </si>
  <si>
    <t>В8980ВР</t>
  </si>
  <si>
    <t>78970155027722499</t>
  </si>
  <si>
    <t>11:12:00</t>
  </si>
  <si>
    <t>В3173К</t>
  </si>
  <si>
    <t>78970155027722531</t>
  </si>
  <si>
    <t>В3171К</t>
  </si>
  <si>
    <t>78970155027722523</t>
  </si>
  <si>
    <t>В8991ВР</t>
  </si>
  <si>
    <t>78970155027722515</t>
  </si>
  <si>
    <t>В8977ВР</t>
  </si>
  <si>
    <t>78970155027722481</t>
  </si>
  <si>
    <t>В8982ВР</t>
  </si>
  <si>
    <t>78970155027722507</t>
  </si>
  <si>
    <t>17:46:00</t>
  </si>
  <si>
    <t>12:30:00</t>
  </si>
  <si>
    <t>22:09:00</t>
  </si>
  <si>
    <t>14:59:00</t>
  </si>
  <si>
    <t>09:46:00</t>
  </si>
  <si>
    <t>22:12:00</t>
  </si>
  <si>
    <t>06:05:00</t>
  </si>
  <si>
    <t>В8971ВР</t>
  </si>
  <si>
    <t>78970155027722473</t>
  </si>
  <si>
    <t>15:07:00</t>
  </si>
  <si>
    <t>06:30:00</t>
  </si>
  <si>
    <t>16:53:00</t>
  </si>
  <si>
    <t>В8330НТ</t>
  </si>
  <si>
    <t>78970155027721988</t>
  </si>
  <si>
    <t>11:27:00</t>
  </si>
  <si>
    <t>06:02:00</t>
  </si>
  <si>
    <t>В8973ВР</t>
  </si>
  <si>
    <t>78970155027722549</t>
  </si>
  <si>
    <t>09:22:00</t>
  </si>
  <si>
    <t>В2763ТА</t>
  </si>
  <si>
    <t>78970155027721996</t>
  </si>
  <si>
    <t>В2764ТА</t>
  </si>
  <si>
    <t>78970155027722002</t>
  </si>
  <si>
    <t>ТХ3541МТ</t>
  </si>
  <si>
    <t>78970151027720922</t>
  </si>
  <si>
    <t>10:57:00</t>
  </si>
  <si>
    <t>ТХ4221ХР</t>
  </si>
  <si>
    <t>78970151027721029</t>
  </si>
  <si>
    <t>09:59:00</t>
  </si>
  <si>
    <t>ТХ8900АТ</t>
  </si>
  <si>
    <t>78970151027720880</t>
  </si>
  <si>
    <t>ТХ0224АТ</t>
  </si>
  <si>
    <t>78970151027720856</t>
  </si>
  <si>
    <t>14:24:00</t>
  </si>
  <si>
    <t>ТХ9465МТ</t>
  </si>
  <si>
    <t>78970151027720971</t>
  </si>
  <si>
    <t>08:35:00</t>
  </si>
  <si>
    <t>ТХ8668АН</t>
  </si>
  <si>
    <t>78970151027720815</t>
  </si>
  <si>
    <t>ТХ4444КХ</t>
  </si>
  <si>
    <t>78970151027720674</t>
  </si>
  <si>
    <t>ТХ3756ХК</t>
  </si>
  <si>
    <t>78970151027720773</t>
  </si>
  <si>
    <t>11:51:00</t>
  </si>
  <si>
    <t>ТХ1578ТМ</t>
  </si>
  <si>
    <t>78970151027720989</t>
  </si>
  <si>
    <t>12:58:00</t>
  </si>
  <si>
    <t>ТХ4225ХР</t>
  </si>
  <si>
    <t>78970151027720872</t>
  </si>
  <si>
    <t>13:07:00</t>
  </si>
  <si>
    <t>ТХ0223АТ</t>
  </si>
  <si>
    <t>78970151027720849</t>
  </si>
  <si>
    <t>ТХ1759АК</t>
  </si>
  <si>
    <t>78970151027720732</t>
  </si>
  <si>
    <t>16:55:00</t>
  </si>
  <si>
    <t>ТХ3400РХ</t>
  </si>
  <si>
    <t>78970151027720690</t>
  </si>
  <si>
    <t>ТХ7828ТМ</t>
  </si>
  <si>
    <t>78970151027721011</t>
  </si>
  <si>
    <t>13:33:00</t>
  </si>
  <si>
    <t>ТХ3500РХ</t>
  </si>
  <si>
    <t>78970151027720708</t>
  </si>
  <si>
    <t>08:59:00</t>
  </si>
  <si>
    <t>08:39:00</t>
  </si>
  <si>
    <t>ТХ0222АТ</t>
  </si>
  <si>
    <t>78970151027720831</t>
  </si>
  <si>
    <t>ТХ8897АТ</t>
  </si>
  <si>
    <t>78970151027720898</t>
  </si>
  <si>
    <t>17:06:00</t>
  </si>
  <si>
    <t>ТХ7827ТМ</t>
  </si>
  <si>
    <t>78970151027721003</t>
  </si>
  <si>
    <t>ТХ0344АР</t>
  </si>
  <si>
    <t>78970151027720914</t>
  </si>
  <si>
    <t>08:25:00</t>
  </si>
  <si>
    <t>13:51:00</t>
  </si>
  <si>
    <t>ТХ3713АН</t>
  </si>
  <si>
    <t>78970151027720823</t>
  </si>
  <si>
    <t>15:31:00</t>
  </si>
  <si>
    <t>17:04:00</t>
  </si>
  <si>
    <t>15:16:00</t>
  </si>
  <si>
    <t>19:20:00</t>
  </si>
  <si>
    <t>20:44:00</t>
  </si>
  <si>
    <t>11:42:00</t>
  </si>
  <si>
    <t>00:04:00</t>
  </si>
  <si>
    <t>ТХ4223ХР</t>
  </si>
  <si>
    <t>78970151027720740</t>
  </si>
  <si>
    <t>20:06:00</t>
  </si>
  <si>
    <t>14:34:00</t>
  </si>
  <si>
    <t>ТХ8896АТ</t>
  </si>
  <si>
    <t>78970151027721037</t>
  </si>
  <si>
    <t>14:22:00</t>
  </si>
  <si>
    <t>17:12:00</t>
  </si>
  <si>
    <t>09:03:00</t>
  </si>
  <si>
    <t>13:01:00</t>
  </si>
  <si>
    <t>07:03:00</t>
  </si>
  <si>
    <t>13:42:00</t>
  </si>
  <si>
    <t>13:34:00</t>
  </si>
  <si>
    <t>13:02:00</t>
  </si>
  <si>
    <t>08:28:00</t>
  </si>
  <si>
    <t>ТХ2626КХ</t>
  </si>
  <si>
    <t>78970151027720682</t>
  </si>
  <si>
    <t>15:51:00</t>
  </si>
  <si>
    <t>17:53:00</t>
  </si>
  <si>
    <t>12:59:00</t>
  </si>
  <si>
    <t>ТХ1573ТМ</t>
  </si>
  <si>
    <t>78970151027720997</t>
  </si>
  <si>
    <t>17:11:00</t>
  </si>
  <si>
    <t>13:50:00</t>
  </si>
  <si>
    <t>В4602ХК</t>
  </si>
  <si>
    <t>78970155027720394</t>
  </si>
  <si>
    <t>12:35:00</t>
  </si>
  <si>
    <t>В4603ХК</t>
  </si>
  <si>
    <t>78970155027720402</t>
  </si>
  <si>
    <t>11:14:00</t>
  </si>
  <si>
    <t>В4601ХК</t>
  </si>
  <si>
    <t>78970155027720386</t>
  </si>
  <si>
    <t>В1749ВТ</t>
  </si>
  <si>
    <t>78970155027720329</t>
  </si>
  <si>
    <t>12:50:00</t>
  </si>
  <si>
    <t>В8011КН</t>
  </si>
  <si>
    <t>78970155027720303</t>
  </si>
  <si>
    <t>В2516ТМ</t>
  </si>
  <si>
    <t>78970155027720287</t>
  </si>
  <si>
    <t>B8393XK</t>
  </si>
  <si>
    <t>78970155027720261</t>
  </si>
  <si>
    <t>В2515ТМ</t>
  </si>
  <si>
    <t>78970155027720279</t>
  </si>
  <si>
    <t>В1384РМ</t>
  </si>
  <si>
    <t>78970155027720295</t>
  </si>
  <si>
    <t>13:54:00</t>
  </si>
  <si>
    <t>15:33:00</t>
  </si>
  <si>
    <t>В4289НТ</t>
  </si>
  <si>
    <t>78970155027721939</t>
  </si>
  <si>
    <t>В4287НТ</t>
  </si>
  <si>
    <t>78970155027721921</t>
  </si>
  <si>
    <t>В2881РХ</t>
  </si>
  <si>
    <t>78970155027721871</t>
  </si>
  <si>
    <t>10:18:00</t>
  </si>
  <si>
    <t>В7492КТ</t>
  </si>
  <si>
    <t>78970155027721905</t>
  </si>
  <si>
    <t>В0084ХМ</t>
  </si>
  <si>
    <t>78970155027721814</t>
  </si>
  <si>
    <t>14:26:00</t>
  </si>
  <si>
    <t>В7493КТ</t>
  </si>
  <si>
    <t>78970155027721913</t>
  </si>
  <si>
    <t>14:35:00</t>
  </si>
  <si>
    <t>В0549НТ</t>
  </si>
  <si>
    <t>78970155027720972</t>
  </si>
  <si>
    <t>В3752РМ</t>
  </si>
  <si>
    <t>78970155027720907</t>
  </si>
  <si>
    <t>12:18:00</t>
  </si>
  <si>
    <t>В0551НТ</t>
  </si>
  <si>
    <t>78970155027720980</t>
  </si>
  <si>
    <t>В7481ВС</t>
  </si>
  <si>
    <t>78970155027721038</t>
  </si>
  <si>
    <t>13:43:00</t>
  </si>
  <si>
    <t>В3759РМ</t>
  </si>
  <si>
    <t>78970155027720915</t>
  </si>
  <si>
    <t>В5134НА</t>
  </si>
  <si>
    <t>78970155027720949</t>
  </si>
  <si>
    <t>В5136НА</t>
  </si>
  <si>
    <t>78970155027720956</t>
  </si>
  <si>
    <t>В0548НТ</t>
  </si>
  <si>
    <t>78970155027720964</t>
  </si>
  <si>
    <t>В0554НТ</t>
  </si>
  <si>
    <t>78970155027721012</t>
  </si>
  <si>
    <t>В0553НТ</t>
  </si>
  <si>
    <t>78970155027721004</t>
  </si>
  <si>
    <t>В0552НТ</t>
  </si>
  <si>
    <t>78970155027720998</t>
  </si>
  <si>
    <t>14:16:00</t>
  </si>
  <si>
    <t>В0555НТ</t>
  </si>
  <si>
    <t>78970155027721020</t>
  </si>
  <si>
    <t>14:23:00</t>
  </si>
  <si>
    <t>В7473ВС</t>
  </si>
  <si>
    <t>78970155027721046</t>
  </si>
  <si>
    <t>14:58:00</t>
  </si>
  <si>
    <t>В0588ВТ</t>
  </si>
  <si>
    <t>78970155027720923</t>
  </si>
  <si>
    <t>В10528</t>
  </si>
  <si>
    <t>78970155027721053</t>
  </si>
  <si>
    <t>12:47:00</t>
  </si>
  <si>
    <t>11:37:00</t>
  </si>
  <si>
    <t>13:30:00</t>
  </si>
  <si>
    <t>14:06:00</t>
  </si>
  <si>
    <t>14:03:00</t>
  </si>
  <si>
    <t>14:04:00</t>
  </si>
  <si>
    <t>13:04:00</t>
  </si>
  <si>
    <t>ТУБА-5БЕНЗИН</t>
  </si>
  <si>
    <t>78970155027721111</t>
  </si>
  <si>
    <t>12:57:00</t>
  </si>
  <si>
    <t>11:04:00</t>
  </si>
  <si>
    <t>13:12:00</t>
  </si>
  <si>
    <t>14:09:00</t>
  </si>
  <si>
    <t>13:17:00</t>
  </si>
  <si>
    <t>78970154027720249</t>
  </si>
  <si>
    <t>17:51:00</t>
  </si>
  <si>
    <t>10</t>
  </si>
  <si>
    <t>78970154027720231</t>
  </si>
  <si>
    <t>10:51:00</t>
  </si>
  <si>
    <t>09:26:00</t>
  </si>
  <si>
    <t>20:53:00</t>
  </si>
  <si>
    <t>19:32:00</t>
  </si>
  <si>
    <t>В8661НР</t>
  </si>
  <si>
    <t>78970153027720100</t>
  </si>
  <si>
    <t>06:58:00</t>
  </si>
  <si>
    <t>В08283</t>
  </si>
  <si>
    <t>78970153027720019</t>
  </si>
  <si>
    <t>Туба2</t>
  </si>
  <si>
    <t>78970153027720753</t>
  </si>
  <si>
    <t>PB3709TH</t>
  </si>
  <si>
    <t>78970153027720126</t>
  </si>
  <si>
    <t>17:16:00</t>
  </si>
  <si>
    <t>09:10:00</t>
  </si>
  <si>
    <t>06:18:00</t>
  </si>
  <si>
    <t>06:24:00</t>
  </si>
  <si>
    <t>06:20:00</t>
  </si>
  <si>
    <t>CB6921TM</t>
  </si>
  <si>
    <t>78970153027720167</t>
  </si>
  <si>
    <t>B12563</t>
  </si>
  <si>
    <t>78970153027720191</t>
  </si>
  <si>
    <t>06:31:00</t>
  </si>
  <si>
    <t>07:10:00</t>
  </si>
  <si>
    <t>С6524НС</t>
  </si>
  <si>
    <t>78970153027720118</t>
  </si>
  <si>
    <t>16:34:00</t>
  </si>
  <si>
    <t>В3771ТР</t>
  </si>
  <si>
    <t>78970153027720076</t>
  </si>
  <si>
    <t>08:19:00</t>
  </si>
  <si>
    <t>17:30:00</t>
  </si>
  <si>
    <t>07:39:00</t>
  </si>
  <si>
    <t>В0048ТР</t>
  </si>
  <si>
    <t>78970153027720084</t>
  </si>
  <si>
    <t>07:40:00</t>
  </si>
  <si>
    <t>Туба1</t>
  </si>
  <si>
    <t>78970153027720746</t>
  </si>
  <si>
    <t>07:51:00</t>
  </si>
  <si>
    <t>07:08:00</t>
  </si>
  <si>
    <t>06:49:00</t>
  </si>
  <si>
    <t>78970153027720217</t>
  </si>
  <si>
    <t>19:00:00</t>
  </si>
  <si>
    <t>06:14:00</t>
  </si>
  <si>
    <t>17:17:00</t>
  </si>
  <si>
    <t>17:21:00</t>
  </si>
  <si>
    <t>15:54:00</t>
  </si>
  <si>
    <t>07:09:00</t>
  </si>
  <si>
    <t>12:48:00</t>
  </si>
  <si>
    <t>15:52:00</t>
  </si>
  <si>
    <t>06:16:00</t>
  </si>
  <si>
    <t>12:01:00</t>
  </si>
  <si>
    <t>78970153027720043</t>
  </si>
  <si>
    <t>17:42:00</t>
  </si>
  <si>
    <t>17:41:00</t>
  </si>
  <si>
    <t>06:15:00</t>
  </si>
  <si>
    <t>17:26:00</t>
  </si>
  <si>
    <t>B9415TC</t>
  </si>
  <si>
    <t>78970153027720142</t>
  </si>
  <si>
    <t>В8987ВР</t>
  </si>
  <si>
    <t>78970155027720501</t>
  </si>
  <si>
    <t>В7243ВР</t>
  </si>
  <si>
    <t>78970155027720519</t>
  </si>
  <si>
    <t>В2525КН</t>
  </si>
  <si>
    <t>78970155027720493</t>
  </si>
  <si>
    <t>В8990ВР</t>
  </si>
  <si>
    <t>78970155027720766</t>
  </si>
  <si>
    <t>В0843ТМ</t>
  </si>
  <si>
    <t>78970155027720758</t>
  </si>
  <si>
    <t>14:31:00</t>
  </si>
  <si>
    <t>В7240ВР</t>
  </si>
  <si>
    <t>78970155027720568</t>
  </si>
  <si>
    <t>08:48:00</t>
  </si>
  <si>
    <t>B7235BP</t>
  </si>
  <si>
    <t>78970155027722044</t>
  </si>
  <si>
    <t>09:48:00</t>
  </si>
  <si>
    <t>В5782КН</t>
  </si>
  <si>
    <t>78970155027721376</t>
  </si>
  <si>
    <t>1S</t>
  </si>
  <si>
    <t>78970153027720720</t>
  </si>
  <si>
    <t>19:50:00</t>
  </si>
  <si>
    <t>22:22:00</t>
  </si>
  <si>
    <t>РА7887КМ</t>
  </si>
  <si>
    <t>78970153027721173</t>
  </si>
  <si>
    <t>СВ6794ХС</t>
  </si>
  <si>
    <t>78970153027721165</t>
  </si>
  <si>
    <t>СВ5349ММ</t>
  </si>
  <si>
    <t>78970153027721140</t>
  </si>
  <si>
    <t>СВ8220ХР</t>
  </si>
  <si>
    <t>78970153027721116</t>
  </si>
  <si>
    <t>10:32:00</t>
  </si>
  <si>
    <t>СВ8630СК</t>
  </si>
  <si>
    <t>78970153027721132</t>
  </si>
  <si>
    <t>СВ1514СТ</t>
  </si>
  <si>
    <t>78970153027721124</t>
  </si>
  <si>
    <t>17:19:00</t>
  </si>
  <si>
    <t>18:45:00</t>
  </si>
  <si>
    <t>1926 Ботевград</t>
  </si>
  <si>
    <t>СВ3774ТТ</t>
  </si>
  <si>
    <t>78970153027721157</t>
  </si>
  <si>
    <t>05:13:00</t>
  </si>
  <si>
    <t>10:50:00</t>
  </si>
  <si>
    <t>19:05:00</t>
  </si>
  <si>
    <t>08:09:00</t>
  </si>
  <si>
    <t>19:42:00</t>
  </si>
  <si>
    <t>СВ5410ХА</t>
  </si>
  <si>
    <t>78970153027721066</t>
  </si>
  <si>
    <t>СВ6217СТ</t>
  </si>
  <si>
    <t>78970153027721058</t>
  </si>
  <si>
    <t>СВ5413КХ</t>
  </si>
  <si>
    <t>78970153027721199</t>
  </si>
  <si>
    <t>СВ7370ХА</t>
  </si>
  <si>
    <t>78970153027721074</t>
  </si>
  <si>
    <t>16:00:00</t>
  </si>
  <si>
    <t>09:36:00</t>
  </si>
  <si>
    <t>СВ5416КХ</t>
  </si>
  <si>
    <t>78970153027721207</t>
  </si>
  <si>
    <t>07:44:00</t>
  </si>
  <si>
    <t>10:17:00</t>
  </si>
  <si>
    <t>СВ9234ВН</t>
  </si>
  <si>
    <t>78970153027721215</t>
  </si>
  <si>
    <t>10:02:00</t>
  </si>
  <si>
    <t>1162 София Люлин П. Владигеров</t>
  </si>
  <si>
    <t>СВ0495СО</t>
  </si>
  <si>
    <t>78970152027720136</t>
  </si>
  <si>
    <t>08:01:00</t>
  </si>
  <si>
    <t>07:52:00</t>
  </si>
  <si>
    <t>1142 Пазарджик Север</t>
  </si>
  <si>
    <t>13:49:00</t>
  </si>
  <si>
    <t>16:10:00</t>
  </si>
  <si>
    <t>09:55:00</t>
  </si>
  <si>
    <t>10:15:00</t>
  </si>
  <si>
    <t>07:49:00</t>
  </si>
  <si>
    <t>20СС</t>
  </si>
  <si>
    <t>78970153027720605</t>
  </si>
  <si>
    <t>В3675НМ</t>
  </si>
  <si>
    <t>78970153027720480</t>
  </si>
  <si>
    <t>В0452ВК</t>
  </si>
  <si>
    <t>78970153027720498</t>
  </si>
  <si>
    <t>11:29:00</t>
  </si>
  <si>
    <t>1913 О5 Шумен 2</t>
  </si>
  <si>
    <t>В8661КК</t>
  </si>
  <si>
    <t>78970153027720464</t>
  </si>
  <si>
    <t>В2370ТК</t>
  </si>
  <si>
    <t>78970153027720548</t>
  </si>
  <si>
    <t>В3106НР</t>
  </si>
  <si>
    <t>78970153027720373</t>
  </si>
  <si>
    <t>В3104НР</t>
  </si>
  <si>
    <t>78970153027720365</t>
  </si>
  <si>
    <t>В6172ВС</t>
  </si>
  <si>
    <t>78970153027720332</t>
  </si>
  <si>
    <t>В0859ВМ</t>
  </si>
  <si>
    <t>78970153027720357</t>
  </si>
  <si>
    <t>В3184ТХ</t>
  </si>
  <si>
    <t>78970153027720407</t>
  </si>
  <si>
    <t>В3973НТ</t>
  </si>
  <si>
    <t>78970153027720381</t>
  </si>
  <si>
    <t>В4303РА</t>
  </si>
  <si>
    <t>78970153027720449</t>
  </si>
  <si>
    <t>22СС</t>
  </si>
  <si>
    <t>78970153027720555</t>
  </si>
  <si>
    <t>В4428ТХ</t>
  </si>
  <si>
    <t>78970153027720530</t>
  </si>
  <si>
    <t>10:41:00</t>
  </si>
  <si>
    <t>В1019ХВ</t>
  </si>
  <si>
    <t>78970153027720290</t>
  </si>
  <si>
    <t>08:20:00</t>
  </si>
  <si>
    <t>08:22:00</t>
  </si>
  <si>
    <t>11:11:00</t>
  </si>
  <si>
    <t>14:42:00</t>
  </si>
  <si>
    <t>15:53:00</t>
  </si>
  <si>
    <t>05:03:00</t>
  </si>
  <si>
    <t>16:01:00</t>
  </si>
  <si>
    <t>16:37:00</t>
  </si>
  <si>
    <t>11:23:00</t>
  </si>
  <si>
    <t>11:21:00</t>
  </si>
  <si>
    <t>07:13:00</t>
  </si>
  <si>
    <t>17:03:00</t>
  </si>
  <si>
    <t>13:45:00</t>
  </si>
  <si>
    <t>09:33:00</t>
  </si>
  <si>
    <t>20:48:00</t>
  </si>
  <si>
    <t>10:55:00</t>
  </si>
  <si>
    <t>В9704РР</t>
  </si>
  <si>
    <t>78970153027720472</t>
  </si>
  <si>
    <t>В1835СА</t>
  </si>
  <si>
    <t>78970155027720220</t>
  </si>
  <si>
    <t>08:33:00</t>
  </si>
  <si>
    <t>В6899ТХ</t>
  </si>
  <si>
    <t>78970155027720196</t>
  </si>
  <si>
    <t>10:43:00</t>
  </si>
  <si>
    <t>В9046НР</t>
  </si>
  <si>
    <t>78970155027720048</t>
  </si>
  <si>
    <t>1196 Пазарджик Царица Йоанна</t>
  </si>
  <si>
    <t>В9702ТА</t>
  </si>
  <si>
    <t>78970155027720113</t>
  </si>
  <si>
    <t>78970155027720170</t>
  </si>
  <si>
    <t>В8028НН</t>
  </si>
  <si>
    <t>78970155027720154</t>
  </si>
  <si>
    <t>1149 Кюстендил Николичевски път</t>
  </si>
  <si>
    <t>СВ5723НB</t>
  </si>
  <si>
    <t>78970152027720144</t>
  </si>
  <si>
    <t>В7430ТМ</t>
  </si>
  <si>
    <t>78970155027720147</t>
  </si>
  <si>
    <t>В2573ХЕ</t>
  </si>
  <si>
    <t>78970151027720583</t>
  </si>
  <si>
    <t>В5091ТС</t>
  </si>
  <si>
    <t>78970155027720105</t>
  </si>
  <si>
    <t>В0509ХА</t>
  </si>
  <si>
    <t>78970155027720063</t>
  </si>
  <si>
    <t>В6957НТ</t>
  </si>
  <si>
    <t>78970155027720089</t>
  </si>
  <si>
    <t>В6359ТЕ</t>
  </si>
  <si>
    <t>78970155027720139</t>
  </si>
  <si>
    <t>В5038НТ</t>
  </si>
  <si>
    <t>78970155027720022</t>
  </si>
  <si>
    <t>В4288ХА</t>
  </si>
  <si>
    <t>78970155027720162</t>
  </si>
  <si>
    <t>78970155027720188</t>
  </si>
  <si>
    <t>В1052НН</t>
  </si>
  <si>
    <t>78970155027720121</t>
  </si>
  <si>
    <t>В5649НТ</t>
  </si>
  <si>
    <t>78970155027720097</t>
  </si>
  <si>
    <t>В5941ТН</t>
  </si>
  <si>
    <t>78970155027720030</t>
  </si>
  <si>
    <t>B5938TH</t>
  </si>
  <si>
    <t>78970155027720014</t>
  </si>
  <si>
    <t>12:21:00</t>
  </si>
  <si>
    <t>18:01:00</t>
  </si>
  <si>
    <t>12:28:00</t>
  </si>
  <si>
    <t>17:45:00</t>
  </si>
  <si>
    <t>04:42:00</t>
  </si>
  <si>
    <t>В6364ТЕ</t>
  </si>
  <si>
    <t>78970155027720055</t>
  </si>
  <si>
    <t>07:56:00</t>
  </si>
  <si>
    <t>В5982XK</t>
  </si>
  <si>
    <t>78970156027720822</t>
  </si>
  <si>
    <t>16:46:00</t>
  </si>
  <si>
    <t>12:40:00</t>
  </si>
  <si>
    <t>12:07:00</t>
  </si>
  <si>
    <t>12:43:00</t>
  </si>
  <si>
    <t>12:00:00</t>
  </si>
  <si>
    <t>08:05:00</t>
  </si>
  <si>
    <t>04:27:00</t>
  </si>
  <si>
    <t>11:56:00</t>
  </si>
  <si>
    <t>04:54:00</t>
  </si>
  <si>
    <t>06:52:00</t>
  </si>
  <si>
    <t>1153 Банско</t>
  </si>
  <si>
    <t>12:03:00</t>
  </si>
  <si>
    <t>08:52:00</t>
  </si>
  <si>
    <t>B3018XK</t>
  </si>
  <si>
    <t>78970153027721439</t>
  </si>
  <si>
    <t>11:15:00</t>
  </si>
  <si>
    <t>18:44:00</t>
  </si>
  <si>
    <t>16:12:00</t>
  </si>
  <si>
    <t>18:46:00</t>
  </si>
  <si>
    <t>08:03:00</t>
  </si>
  <si>
    <t>11:24:00</t>
  </si>
  <si>
    <t>04:44:00</t>
  </si>
  <si>
    <t>16:42:00</t>
  </si>
  <si>
    <t>14:55:00</t>
  </si>
  <si>
    <t>15:14:00</t>
  </si>
  <si>
    <t>В9752ВР</t>
  </si>
  <si>
    <t>78970156027720442</t>
  </si>
  <si>
    <t>В3992ВВ</t>
  </si>
  <si>
    <t>78970156027720426</t>
  </si>
  <si>
    <t>В7860ХА</t>
  </si>
  <si>
    <t>78970156027720475</t>
  </si>
  <si>
    <t>07:38:00</t>
  </si>
  <si>
    <t>19:13:00</t>
  </si>
  <si>
    <t>18:57:00</t>
  </si>
  <si>
    <t>B7411HP</t>
  </si>
  <si>
    <t>78970156027720111</t>
  </si>
  <si>
    <t>16:18:00</t>
  </si>
  <si>
    <t>B8986TE</t>
  </si>
  <si>
    <t>78970156027720046</t>
  </si>
  <si>
    <t>B6349TT</t>
  </si>
  <si>
    <t>78970156027720186</t>
  </si>
  <si>
    <t>B9632TM</t>
  </si>
  <si>
    <t>78970156027720038</t>
  </si>
  <si>
    <t>V</t>
  </si>
  <si>
    <t>78970153027720795</t>
  </si>
  <si>
    <t>B7033TA</t>
  </si>
  <si>
    <t>78970156027720160</t>
  </si>
  <si>
    <t>15:46:00</t>
  </si>
  <si>
    <t>B0038XB</t>
  </si>
  <si>
    <t>78970156027720830</t>
  </si>
  <si>
    <t>08:49:00</t>
  </si>
  <si>
    <t>B8959TE</t>
  </si>
  <si>
    <t>78970156027720053</t>
  </si>
  <si>
    <t>15:44:00</t>
  </si>
  <si>
    <t>B7320TH</t>
  </si>
  <si>
    <t>78970156027720020</t>
  </si>
  <si>
    <t>05:31:00</t>
  </si>
  <si>
    <t>06:01:00</t>
  </si>
  <si>
    <t>S</t>
  </si>
  <si>
    <t>78970156027720228</t>
  </si>
  <si>
    <t>1922 Kardzhali Belomorski</t>
  </si>
  <si>
    <t>04:50:00</t>
  </si>
  <si>
    <t>B2909XA</t>
  </si>
  <si>
    <t>78970156027720194</t>
  </si>
  <si>
    <t>C</t>
  </si>
  <si>
    <t>78970156027720244</t>
  </si>
  <si>
    <t>21:52:00</t>
  </si>
  <si>
    <t>B9231XE</t>
  </si>
  <si>
    <t>78970156027720483</t>
  </si>
  <si>
    <t>1182 София Каменоделска</t>
  </si>
  <si>
    <t>B2127TX</t>
  </si>
  <si>
    <t>78970156027720137</t>
  </si>
  <si>
    <t>B1973XB</t>
  </si>
  <si>
    <t>78970156027720087</t>
  </si>
  <si>
    <t>08:47:00</t>
  </si>
  <si>
    <t>D</t>
  </si>
  <si>
    <t>78970156027720236</t>
  </si>
  <si>
    <t>02:02:00</t>
  </si>
  <si>
    <t>05:49:00</t>
  </si>
  <si>
    <t>05:34:00</t>
  </si>
  <si>
    <t>14:21:00</t>
  </si>
  <si>
    <t>B4348BM</t>
  </si>
  <si>
    <t>78970156027720152</t>
  </si>
  <si>
    <t>04:38:00</t>
  </si>
  <si>
    <t>05:56:00</t>
  </si>
  <si>
    <t>06:23:00</t>
  </si>
  <si>
    <t>16:45:00</t>
  </si>
  <si>
    <t>20:08:00</t>
  </si>
  <si>
    <t>12:15:00</t>
  </si>
  <si>
    <t>03:41:00</t>
  </si>
  <si>
    <t>B7381HP</t>
  </si>
  <si>
    <t>78970156027720103</t>
  </si>
  <si>
    <t>02:59:00</t>
  </si>
  <si>
    <t>06:32:00</t>
  </si>
  <si>
    <t>07:25:00</t>
  </si>
  <si>
    <t>B7996BA</t>
  </si>
  <si>
    <t>78970156027720202</t>
  </si>
  <si>
    <t>23:16:00</t>
  </si>
  <si>
    <t>02:45:00</t>
  </si>
  <si>
    <t>1905 София, О5 Люлин</t>
  </si>
  <si>
    <t>17:49:00</t>
  </si>
  <si>
    <t>07:37:00</t>
  </si>
  <si>
    <t>14:51:00</t>
  </si>
  <si>
    <t>B1975XB</t>
  </si>
  <si>
    <t>78970156027720079</t>
  </si>
  <si>
    <t>08:50:00</t>
  </si>
  <si>
    <t>13:36:00</t>
  </si>
  <si>
    <t>15:13:00</t>
  </si>
  <si>
    <t>06:03:00</t>
  </si>
  <si>
    <t>06:22:00</t>
  </si>
  <si>
    <t>10:45:00</t>
  </si>
  <si>
    <t>01:24:00</t>
  </si>
  <si>
    <t>1906 София, О5 Орион</t>
  </si>
  <si>
    <t>14:47:00</t>
  </si>
  <si>
    <t>03:35:00</t>
  </si>
  <si>
    <t>05:41:00</t>
  </si>
  <si>
    <t>B6469TH</t>
  </si>
  <si>
    <t>78970156027720269</t>
  </si>
  <si>
    <t>17:57:00</t>
  </si>
  <si>
    <t>B6802BX</t>
  </si>
  <si>
    <t>78970156027720277</t>
  </si>
  <si>
    <t>B9325TM</t>
  </si>
  <si>
    <t>78970156027720251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</si>
</sst>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164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11"/>
  <sheetViews>
    <sheetView workbookViewId="0">
      <selection activeCell="N21" sqref="N21"/>
    </sheetView>
  </sheetViews>
  <sheetFormatPr defaultRowHeight="15" x14ac:dyDescent="0.25"/>
  <cols>
    <col min="1" max="1" width="10.42578125" bestFit="1" customWidth="1"/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38</v>
      </c>
      <c r="G2" t="s">
        <v>21</v>
      </c>
      <c r="H2">
        <v>1.78</v>
      </c>
      <c r="I2">
        <v>0.03</v>
      </c>
      <c r="J2">
        <v>0</v>
      </c>
      <c r="K2">
        <v>4.22</v>
      </c>
      <c r="L2">
        <v>67.64</v>
      </c>
      <c r="M2">
        <v>1.81</v>
      </c>
      <c r="N2">
        <v>68.78</v>
      </c>
      <c r="O2" t="s">
        <v>22</v>
      </c>
      <c r="P2">
        <v>79319</v>
      </c>
    </row>
    <row r="3" spans="1:16" x14ac:dyDescent="0.25">
      <c r="A3" t="s">
        <v>23</v>
      </c>
      <c r="B3" t="s">
        <v>24</v>
      </c>
      <c r="C3" t="s">
        <v>25</v>
      </c>
      <c r="D3" t="s">
        <v>26</v>
      </c>
      <c r="E3" t="s">
        <v>20</v>
      </c>
      <c r="F3">
        <v>19.6999999999999</v>
      </c>
      <c r="G3" t="s">
        <v>21</v>
      </c>
      <c r="H3">
        <v>1.77</v>
      </c>
      <c r="I3">
        <v>0.03</v>
      </c>
      <c r="J3">
        <v>0</v>
      </c>
      <c r="K3">
        <v>2.44</v>
      </c>
      <c r="L3">
        <v>34.869999999999997</v>
      </c>
      <c r="M3">
        <v>1.8</v>
      </c>
      <c r="N3">
        <v>35.46</v>
      </c>
      <c r="O3" t="s">
        <v>27</v>
      </c>
      <c r="P3">
        <v>0</v>
      </c>
    </row>
    <row r="4" spans="1:16" x14ac:dyDescent="0.25">
      <c r="A4" t="s">
        <v>23</v>
      </c>
      <c r="B4" t="s">
        <v>24</v>
      </c>
      <c r="C4" t="s">
        <v>28</v>
      </c>
      <c r="D4" t="s">
        <v>29</v>
      </c>
      <c r="E4" t="s">
        <v>30</v>
      </c>
      <c r="G4" t="s">
        <v>21</v>
      </c>
      <c r="H4">
        <v>1.48</v>
      </c>
      <c r="I4">
        <v>0.03</v>
      </c>
      <c r="J4">
        <v>0</v>
      </c>
      <c r="K4">
        <v>1.55</v>
      </c>
      <c r="L4">
        <v>25.28</v>
      </c>
      <c r="M4">
        <v>1.51</v>
      </c>
      <c r="N4">
        <v>25.79</v>
      </c>
      <c r="O4" t="s">
        <v>31</v>
      </c>
      <c r="P4">
        <v>0</v>
      </c>
    </row>
    <row r="5" spans="1:16" x14ac:dyDescent="0.25">
      <c r="A5" t="s">
        <v>23</v>
      </c>
      <c r="B5" t="s">
        <v>32</v>
      </c>
      <c r="C5" t="s">
        <v>18</v>
      </c>
      <c r="D5" t="s">
        <v>19</v>
      </c>
      <c r="E5" t="s">
        <v>20</v>
      </c>
      <c r="F5">
        <v>9</v>
      </c>
      <c r="G5" t="s">
        <v>21</v>
      </c>
      <c r="H5">
        <v>1.77</v>
      </c>
      <c r="I5">
        <v>0.03</v>
      </c>
      <c r="J5">
        <v>0</v>
      </c>
      <c r="K5">
        <v>1.1200000000000001</v>
      </c>
      <c r="L5">
        <v>15.93</v>
      </c>
      <c r="M5">
        <v>1.8</v>
      </c>
      <c r="N5">
        <v>16.2</v>
      </c>
      <c r="O5" t="s">
        <v>33</v>
      </c>
      <c r="P5">
        <v>79500</v>
      </c>
    </row>
    <row r="6" spans="1:16" x14ac:dyDescent="0.25">
      <c r="A6" t="s">
        <v>23</v>
      </c>
      <c r="B6" t="s">
        <v>32</v>
      </c>
      <c r="C6" t="s">
        <v>34</v>
      </c>
      <c r="D6" t="s">
        <v>35</v>
      </c>
      <c r="E6" t="s">
        <v>30</v>
      </c>
      <c r="G6" t="s">
        <v>21</v>
      </c>
      <c r="H6">
        <v>1.48</v>
      </c>
      <c r="I6">
        <v>0.03</v>
      </c>
      <c r="J6">
        <v>0</v>
      </c>
      <c r="K6">
        <v>0.31</v>
      </c>
      <c r="L6">
        <v>5.08</v>
      </c>
      <c r="M6">
        <v>1.51</v>
      </c>
      <c r="N6">
        <v>5.18</v>
      </c>
      <c r="O6" t="s">
        <v>36</v>
      </c>
      <c r="P6">
        <v>0</v>
      </c>
    </row>
    <row r="7" spans="1:16" x14ac:dyDescent="0.25">
      <c r="A7" t="s">
        <v>23</v>
      </c>
      <c r="B7" t="s">
        <v>32</v>
      </c>
      <c r="C7" t="s">
        <v>34</v>
      </c>
      <c r="D7" t="s">
        <v>35</v>
      </c>
      <c r="E7" t="s">
        <v>37</v>
      </c>
      <c r="F7">
        <v>16.446000000000002</v>
      </c>
      <c r="G7" t="s">
        <v>21</v>
      </c>
      <c r="H7">
        <v>0.82</v>
      </c>
      <c r="I7">
        <v>0.01</v>
      </c>
      <c r="J7">
        <v>0</v>
      </c>
      <c r="K7">
        <v>-2.96</v>
      </c>
      <c r="L7">
        <v>13.49</v>
      </c>
      <c r="M7">
        <v>0.83</v>
      </c>
      <c r="N7">
        <v>13.65</v>
      </c>
      <c r="O7" t="s">
        <v>38</v>
      </c>
      <c r="P7">
        <v>0</v>
      </c>
    </row>
    <row r="8" spans="1:16" x14ac:dyDescent="0.25">
      <c r="A8" t="s">
        <v>23</v>
      </c>
      <c r="B8" t="s">
        <v>32</v>
      </c>
      <c r="C8" t="s">
        <v>39</v>
      </c>
      <c r="D8" t="s">
        <v>40</v>
      </c>
      <c r="E8" t="s">
        <v>20</v>
      </c>
      <c r="F8">
        <v>38.883000000000003</v>
      </c>
      <c r="G8" t="s">
        <v>21</v>
      </c>
      <c r="H8">
        <v>1.77</v>
      </c>
      <c r="I8">
        <v>0.03</v>
      </c>
      <c r="J8">
        <v>0</v>
      </c>
      <c r="K8">
        <v>4.82</v>
      </c>
      <c r="L8">
        <v>68.819999999999993</v>
      </c>
      <c r="M8">
        <v>1.8</v>
      </c>
      <c r="N8">
        <v>69.989999999999995</v>
      </c>
      <c r="O8" t="s">
        <v>41</v>
      </c>
      <c r="P8">
        <v>0</v>
      </c>
    </row>
    <row r="11" spans="1:16" x14ac:dyDescent="0.25">
      <c r="F11">
        <f>SUM(F2:F10)</f>
        <v>122.02899999999991</v>
      </c>
      <c r="L11">
        <f>SUM(L2:L10)</f>
        <v>231.11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20"/>
  <sheetViews>
    <sheetView workbookViewId="0">
      <selection activeCell="I2" sqref="I2:I20"/>
    </sheetView>
  </sheetViews>
  <sheetFormatPr defaultRowHeight="15" x14ac:dyDescent="0.25"/>
  <cols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20</v>
      </c>
      <c r="F2">
        <v>82</v>
      </c>
      <c r="G2" t="s">
        <v>21</v>
      </c>
      <c r="H2">
        <v>1.65</v>
      </c>
      <c r="I2">
        <v>0.04</v>
      </c>
      <c r="J2">
        <v>0</v>
      </c>
      <c r="K2">
        <v>0.25</v>
      </c>
      <c r="L2">
        <v>135.30000000000001</v>
      </c>
      <c r="M2">
        <v>1.69</v>
      </c>
      <c r="N2">
        <v>138.58000000000001</v>
      </c>
      <c r="O2" t="s">
        <v>46</v>
      </c>
      <c r="P2">
        <v>0</v>
      </c>
    </row>
    <row r="3" spans="1:16" x14ac:dyDescent="0.25">
      <c r="A3" t="s">
        <v>42</v>
      </c>
      <c r="B3" t="s">
        <v>47</v>
      </c>
      <c r="C3" t="s">
        <v>48</v>
      </c>
      <c r="D3" t="s">
        <v>49</v>
      </c>
      <c r="E3" t="s">
        <v>20</v>
      </c>
      <c r="F3">
        <v>16.591999999999899</v>
      </c>
      <c r="G3" t="s">
        <v>21</v>
      </c>
      <c r="H3">
        <v>1.65</v>
      </c>
      <c r="I3">
        <v>0.04</v>
      </c>
      <c r="J3">
        <v>0</v>
      </c>
      <c r="K3">
        <v>0.05</v>
      </c>
      <c r="L3">
        <v>27.38</v>
      </c>
      <c r="M3">
        <v>1.69</v>
      </c>
      <c r="N3">
        <v>28.04</v>
      </c>
      <c r="O3" t="s">
        <v>50</v>
      </c>
      <c r="P3">
        <v>0</v>
      </c>
    </row>
    <row r="4" spans="1:16" x14ac:dyDescent="0.25">
      <c r="A4" t="s">
        <v>51</v>
      </c>
      <c r="B4" t="s">
        <v>52</v>
      </c>
      <c r="C4" t="s">
        <v>53</v>
      </c>
      <c r="D4" t="s">
        <v>54</v>
      </c>
      <c r="E4" t="s">
        <v>20</v>
      </c>
      <c r="F4">
        <v>25.553000000000001</v>
      </c>
      <c r="G4" t="s">
        <v>21</v>
      </c>
      <c r="H4">
        <v>1.66</v>
      </c>
      <c r="I4">
        <v>0.04</v>
      </c>
      <c r="J4">
        <v>0</v>
      </c>
      <c r="K4">
        <v>0.33</v>
      </c>
      <c r="L4">
        <v>42.42</v>
      </c>
      <c r="M4">
        <v>1.7</v>
      </c>
      <c r="N4">
        <v>43.44</v>
      </c>
      <c r="O4" t="s">
        <v>55</v>
      </c>
      <c r="P4">
        <v>0</v>
      </c>
    </row>
    <row r="5" spans="1:16" x14ac:dyDescent="0.25">
      <c r="A5" t="s">
        <v>56</v>
      </c>
      <c r="B5" t="s">
        <v>52</v>
      </c>
      <c r="C5" t="s">
        <v>53</v>
      </c>
      <c r="D5" t="s">
        <v>54</v>
      </c>
      <c r="E5" t="s">
        <v>20</v>
      </c>
      <c r="F5">
        <v>23.25</v>
      </c>
      <c r="G5" t="s">
        <v>21</v>
      </c>
      <c r="H5">
        <v>1.68</v>
      </c>
      <c r="I5">
        <v>0.04</v>
      </c>
      <c r="J5">
        <v>0</v>
      </c>
      <c r="K5">
        <v>0.77</v>
      </c>
      <c r="L5">
        <v>39.06</v>
      </c>
      <c r="M5">
        <v>1.72</v>
      </c>
      <c r="N5">
        <v>39.99</v>
      </c>
      <c r="O5" t="s">
        <v>57</v>
      </c>
      <c r="P5">
        <v>0</v>
      </c>
    </row>
    <row r="6" spans="1:16" x14ac:dyDescent="0.25">
      <c r="A6" t="s">
        <v>58</v>
      </c>
      <c r="B6" t="s">
        <v>52</v>
      </c>
      <c r="C6" t="s">
        <v>59</v>
      </c>
      <c r="D6" t="s">
        <v>60</v>
      </c>
      <c r="E6" t="s">
        <v>20</v>
      </c>
      <c r="F6">
        <v>26.398</v>
      </c>
      <c r="G6" t="s">
        <v>21</v>
      </c>
      <c r="H6">
        <v>1.72</v>
      </c>
      <c r="I6">
        <v>0.04</v>
      </c>
      <c r="J6">
        <v>0</v>
      </c>
      <c r="K6">
        <v>-0.37</v>
      </c>
      <c r="L6">
        <v>45.4</v>
      </c>
      <c r="M6">
        <v>1.76</v>
      </c>
      <c r="N6">
        <v>46.46</v>
      </c>
      <c r="O6" t="s">
        <v>61</v>
      </c>
      <c r="P6">
        <v>0</v>
      </c>
    </row>
    <row r="7" spans="1:16" x14ac:dyDescent="0.25">
      <c r="A7" t="s">
        <v>58</v>
      </c>
      <c r="B7" t="s">
        <v>52</v>
      </c>
      <c r="C7" t="s">
        <v>62</v>
      </c>
      <c r="D7" t="s">
        <v>63</v>
      </c>
      <c r="E7" t="s">
        <v>64</v>
      </c>
      <c r="F7">
        <v>50.03</v>
      </c>
      <c r="G7" t="s">
        <v>21</v>
      </c>
      <c r="H7">
        <v>2.0099999999999998</v>
      </c>
      <c r="I7">
        <v>0</v>
      </c>
      <c r="J7">
        <v>0</v>
      </c>
      <c r="L7">
        <v>100.56</v>
      </c>
      <c r="M7">
        <v>2.0099999999999998</v>
      </c>
      <c r="N7">
        <v>100.56</v>
      </c>
      <c r="O7" t="s">
        <v>65</v>
      </c>
      <c r="P7">
        <v>0</v>
      </c>
    </row>
    <row r="8" spans="1:16" x14ac:dyDescent="0.25">
      <c r="A8" t="s">
        <v>66</v>
      </c>
      <c r="B8" t="s">
        <v>52</v>
      </c>
      <c r="C8" t="s">
        <v>67</v>
      </c>
      <c r="D8" t="s">
        <v>68</v>
      </c>
      <c r="E8" t="s">
        <v>20</v>
      </c>
      <c r="F8">
        <v>70.010999999999896</v>
      </c>
      <c r="G8" t="s">
        <v>21</v>
      </c>
      <c r="H8">
        <v>1.73</v>
      </c>
      <c r="I8">
        <v>0.04</v>
      </c>
      <c r="J8">
        <v>0</v>
      </c>
      <c r="K8">
        <v>1.1200000000000001</v>
      </c>
      <c r="L8">
        <v>121.12</v>
      </c>
      <c r="M8">
        <v>1.77</v>
      </c>
      <c r="N8">
        <v>123.92</v>
      </c>
      <c r="O8" t="s">
        <v>69</v>
      </c>
      <c r="P8">
        <v>0</v>
      </c>
    </row>
    <row r="9" spans="1:16" x14ac:dyDescent="0.25">
      <c r="A9" t="s">
        <v>70</v>
      </c>
      <c r="B9" t="s">
        <v>43</v>
      </c>
      <c r="C9" t="s">
        <v>44</v>
      </c>
      <c r="D9" t="s">
        <v>45</v>
      </c>
      <c r="E9" t="s">
        <v>20</v>
      </c>
      <c r="F9">
        <v>50</v>
      </c>
      <c r="G9" t="s">
        <v>21</v>
      </c>
      <c r="H9">
        <v>1.77</v>
      </c>
      <c r="I9">
        <v>0.04</v>
      </c>
      <c r="J9">
        <v>0</v>
      </c>
      <c r="K9">
        <v>1.7</v>
      </c>
      <c r="L9">
        <v>88.5</v>
      </c>
      <c r="M9">
        <v>1.81</v>
      </c>
      <c r="N9">
        <v>90.5</v>
      </c>
      <c r="O9" t="s">
        <v>71</v>
      </c>
      <c r="P9">
        <v>0</v>
      </c>
    </row>
    <row r="10" spans="1:16" x14ac:dyDescent="0.25">
      <c r="A10" t="s">
        <v>72</v>
      </c>
      <c r="B10" t="s">
        <v>52</v>
      </c>
      <c r="C10" t="s">
        <v>53</v>
      </c>
      <c r="D10" t="s">
        <v>54</v>
      </c>
      <c r="E10" t="s">
        <v>20</v>
      </c>
      <c r="F10">
        <v>61.319000000000003</v>
      </c>
      <c r="G10" t="s">
        <v>21</v>
      </c>
      <c r="H10">
        <v>1.78</v>
      </c>
      <c r="I10">
        <v>0.04</v>
      </c>
      <c r="J10">
        <v>0</v>
      </c>
      <c r="K10">
        <v>4.54</v>
      </c>
      <c r="L10">
        <v>109.15</v>
      </c>
      <c r="M10">
        <v>1.82</v>
      </c>
      <c r="N10">
        <v>111.6</v>
      </c>
      <c r="O10" t="s">
        <v>73</v>
      </c>
      <c r="P10">
        <v>0</v>
      </c>
    </row>
    <row r="11" spans="1:16" x14ac:dyDescent="0.25">
      <c r="A11" t="s">
        <v>72</v>
      </c>
      <c r="B11" t="s">
        <v>52</v>
      </c>
      <c r="C11" t="s">
        <v>74</v>
      </c>
      <c r="D11" t="s">
        <v>75</v>
      </c>
      <c r="E11" t="s">
        <v>30</v>
      </c>
      <c r="F11">
        <v>73.45</v>
      </c>
      <c r="G11" t="s">
        <v>21</v>
      </c>
      <c r="H11">
        <v>1.47</v>
      </c>
      <c r="I11">
        <v>0.04</v>
      </c>
      <c r="J11">
        <v>0</v>
      </c>
      <c r="K11">
        <v>5.21</v>
      </c>
      <c r="L11">
        <v>107.97</v>
      </c>
      <c r="M11">
        <v>1.51</v>
      </c>
      <c r="N11">
        <v>110.91</v>
      </c>
      <c r="O11" t="s">
        <v>76</v>
      </c>
      <c r="P11">
        <v>0</v>
      </c>
    </row>
    <row r="12" spans="1:16" x14ac:dyDescent="0.25">
      <c r="A12" t="s">
        <v>77</v>
      </c>
      <c r="B12" t="s">
        <v>52</v>
      </c>
      <c r="C12" t="s">
        <v>67</v>
      </c>
      <c r="D12" t="s">
        <v>68</v>
      </c>
      <c r="E12" t="s">
        <v>20</v>
      </c>
      <c r="F12">
        <v>70</v>
      </c>
      <c r="G12" t="s">
        <v>21</v>
      </c>
      <c r="H12">
        <v>1.78</v>
      </c>
      <c r="I12">
        <v>0.04</v>
      </c>
      <c r="J12">
        <v>0</v>
      </c>
      <c r="K12">
        <v>5.18</v>
      </c>
      <c r="L12">
        <v>124.6</v>
      </c>
      <c r="M12">
        <v>1.82</v>
      </c>
      <c r="N12">
        <v>127.4</v>
      </c>
      <c r="O12" t="s">
        <v>78</v>
      </c>
      <c r="P12">
        <v>0</v>
      </c>
    </row>
    <row r="13" spans="1:16" x14ac:dyDescent="0.25">
      <c r="A13" t="s">
        <v>77</v>
      </c>
      <c r="B13" t="s">
        <v>52</v>
      </c>
      <c r="C13" t="s">
        <v>79</v>
      </c>
      <c r="D13" t="s">
        <v>80</v>
      </c>
      <c r="E13" t="s">
        <v>20</v>
      </c>
      <c r="F13">
        <v>59.878999999999898</v>
      </c>
      <c r="G13" t="s">
        <v>21</v>
      </c>
      <c r="H13">
        <v>1.78</v>
      </c>
      <c r="I13">
        <v>0.04</v>
      </c>
      <c r="J13">
        <v>0</v>
      </c>
      <c r="K13">
        <v>4.43</v>
      </c>
      <c r="L13">
        <v>106.58</v>
      </c>
      <c r="M13">
        <v>1.82</v>
      </c>
      <c r="N13">
        <v>108.98</v>
      </c>
      <c r="O13" t="s">
        <v>81</v>
      </c>
      <c r="P13">
        <v>0</v>
      </c>
    </row>
    <row r="14" spans="1:16" x14ac:dyDescent="0.25">
      <c r="A14" t="s">
        <v>82</v>
      </c>
      <c r="B14" t="s">
        <v>43</v>
      </c>
      <c r="C14" t="s">
        <v>44</v>
      </c>
      <c r="D14" t="s">
        <v>45</v>
      </c>
      <c r="E14" t="s">
        <v>20</v>
      </c>
      <c r="F14">
        <v>81.010999999999896</v>
      </c>
      <c r="G14" t="s">
        <v>21</v>
      </c>
      <c r="H14">
        <v>1.78</v>
      </c>
      <c r="I14">
        <v>0.04</v>
      </c>
      <c r="J14">
        <v>0</v>
      </c>
      <c r="K14">
        <v>8.34</v>
      </c>
      <c r="L14">
        <v>144.19999999999999</v>
      </c>
      <c r="M14">
        <v>1.82</v>
      </c>
      <c r="N14">
        <v>147.44</v>
      </c>
      <c r="O14" t="s">
        <v>71</v>
      </c>
      <c r="P14">
        <v>0</v>
      </c>
    </row>
    <row r="15" spans="1:16" x14ac:dyDescent="0.25">
      <c r="A15" t="s">
        <v>83</v>
      </c>
      <c r="B15" t="s">
        <v>84</v>
      </c>
      <c r="C15" t="s">
        <v>59</v>
      </c>
      <c r="D15" t="s">
        <v>60</v>
      </c>
      <c r="E15" t="s">
        <v>20</v>
      </c>
      <c r="F15">
        <v>37.1099999999999</v>
      </c>
      <c r="G15" t="s">
        <v>21</v>
      </c>
      <c r="H15">
        <v>1.78</v>
      </c>
      <c r="I15">
        <v>0.04</v>
      </c>
      <c r="J15">
        <v>0</v>
      </c>
      <c r="K15">
        <v>4.12</v>
      </c>
      <c r="L15">
        <v>66.06</v>
      </c>
      <c r="M15">
        <v>1.82</v>
      </c>
      <c r="N15">
        <v>67.540000000000006</v>
      </c>
      <c r="O15" t="s">
        <v>85</v>
      </c>
      <c r="P15">
        <v>0</v>
      </c>
    </row>
    <row r="16" spans="1:16" x14ac:dyDescent="0.25">
      <c r="A16" t="s">
        <v>86</v>
      </c>
      <c r="B16" t="s">
        <v>52</v>
      </c>
      <c r="C16" t="s">
        <v>79</v>
      </c>
      <c r="D16" t="s">
        <v>80</v>
      </c>
      <c r="E16" t="s">
        <v>87</v>
      </c>
      <c r="F16">
        <v>11</v>
      </c>
      <c r="G16" t="s">
        <v>21</v>
      </c>
      <c r="H16">
        <v>1.76</v>
      </c>
      <c r="I16">
        <v>0</v>
      </c>
      <c r="J16">
        <v>0</v>
      </c>
      <c r="L16">
        <v>19.36</v>
      </c>
      <c r="M16">
        <v>1.76</v>
      </c>
      <c r="N16">
        <v>19.36</v>
      </c>
      <c r="O16" t="s">
        <v>88</v>
      </c>
      <c r="P16">
        <v>0</v>
      </c>
    </row>
    <row r="17" spans="1:16" x14ac:dyDescent="0.25">
      <c r="A17" t="s">
        <v>86</v>
      </c>
      <c r="B17" t="s">
        <v>52</v>
      </c>
      <c r="C17" t="s">
        <v>67</v>
      </c>
      <c r="D17" t="s">
        <v>68</v>
      </c>
      <c r="E17" t="s">
        <v>20</v>
      </c>
      <c r="F17">
        <v>72</v>
      </c>
      <c r="G17" t="s">
        <v>21</v>
      </c>
      <c r="H17">
        <v>1.77</v>
      </c>
      <c r="I17">
        <v>0.04</v>
      </c>
      <c r="J17">
        <v>0</v>
      </c>
      <c r="K17">
        <v>7.27</v>
      </c>
      <c r="L17">
        <v>127.44</v>
      </c>
      <c r="M17">
        <v>1.81</v>
      </c>
      <c r="N17">
        <v>130.32</v>
      </c>
      <c r="O17" t="s">
        <v>89</v>
      </c>
      <c r="P17">
        <v>0</v>
      </c>
    </row>
    <row r="18" spans="1:16" x14ac:dyDescent="0.25">
      <c r="A18" t="s">
        <v>86</v>
      </c>
      <c r="B18" t="s">
        <v>52</v>
      </c>
      <c r="C18" t="s">
        <v>90</v>
      </c>
      <c r="D18" t="s">
        <v>91</v>
      </c>
      <c r="E18" t="s">
        <v>20</v>
      </c>
      <c r="F18">
        <v>50.039000000000001</v>
      </c>
      <c r="G18" t="s">
        <v>21</v>
      </c>
      <c r="H18">
        <v>1.77</v>
      </c>
      <c r="I18">
        <v>0.04</v>
      </c>
      <c r="J18">
        <v>0</v>
      </c>
      <c r="K18">
        <v>5.05</v>
      </c>
      <c r="L18">
        <v>88.57</v>
      </c>
      <c r="M18">
        <v>1.81</v>
      </c>
      <c r="N18">
        <v>90.57</v>
      </c>
      <c r="O18" t="s">
        <v>92</v>
      </c>
      <c r="P18">
        <v>0</v>
      </c>
    </row>
    <row r="19" spans="1:16" x14ac:dyDescent="0.25">
      <c r="A19" t="s">
        <v>23</v>
      </c>
      <c r="B19" t="s">
        <v>47</v>
      </c>
      <c r="C19" t="s">
        <v>48</v>
      </c>
      <c r="D19" t="s">
        <v>49</v>
      </c>
      <c r="E19" t="s">
        <v>20</v>
      </c>
      <c r="F19">
        <v>35.838999999999899</v>
      </c>
      <c r="G19" t="s">
        <v>21</v>
      </c>
      <c r="H19">
        <v>1.76</v>
      </c>
      <c r="I19">
        <v>0.04</v>
      </c>
      <c r="J19">
        <v>0</v>
      </c>
      <c r="K19">
        <v>4.09</v>
      </c>
      <c r="L19">
        <v>63.08</v>
      </c>
      <c r="M19">
        <v>1.8</v>
      </c>
      <c r="N19">
        <v>64.510000000000005</v>
      </c>
      <c r="O19" t="s">
        <v>93</v>
      </c>
      <c r="P19">
        <v>0</v>
      </c>
    </row>
    <row r="20" spans="1:16" x14ac:dyDescent="0.25">
      <c r="A20" t="s">
        <v>23</v>
      </c>
      <c r="B20" t="s">
        <v>52</v>
      </c>
      <c r="C20" t="s">
        <v>53</v>
      </c>
      <c r="D20" t="s">
        <v>54</v>
      </c>
      <c r="E20" t="s">
        <v>20</v>
      </c>
      <c r="F20">
        <v>49.539000000000001</v>
      </c>
      <c r="G20" t="s">
        <v>21</v>
      </c>
      <c r="H20">
        <v>1.76</v>
      </c>
      <c r="I20">
        <v>0.04</v>
      </c>
      <c r="J20">
        <v>0</v>
      </c>
      <c r="K20">
        <v>5.65</v>
      </c>
      <c r="L20">
        <v>87.19</v>
      </c>
      <c r="M20">
        <v>1.8</v>
      </c>
      <c r="N20">
        <v>89.17</v>
      </c>
      <c r="O20" t="s">
        <v>94</v>
      </c>
      <c r="P2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P6"/>
  <sheetViews>
    <sheetView workbookViewId="0">
      <selection activeCell="J29" sqref="J29"/>
    </sheetView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</v>
      </c>
      <c r="B2" t="s">
        <v>95</v>
      </c>
      <c r="C2" t="s">
        <v>96</v>
      </c>
      <c r="D2" t="s">
        <v>97</v>
      </c>
      <c r="E2" t="s">
        <v>30</v>
      </c>
      <c r="F2">
        <v>75.432000000000002</v>
      </c>
      <c r="G2" t="s">
        <v>21</v>
      </c>
      <c r="H2">
        <v>1.44</v>
      </c>
      <c r="I2">
        <v>0</v>
      </c>
      <c r="J2">
        <v>0.04</v>
      </c>
      <c r="K2">
        <v>3.02</v>
      </c>
      <c r="L2">
        <v>108.62</v>
      </c>
      <c r="M2">
        <v>1.48</v>
      </c>
      <c r="N2">
        <v>111.64</v>
      </c>
      <c r="O2" t="s">
        <v>98</v>
      </c>
      <c r="P2">
        <v>0</v>
      </c>
    </row>
    <row r="3" spans="1:16" x14ac:dyDescent="0.25">
      <c r="A3" t="s">
        <v>66</v>
      </c>
      <c r="B3" t="s">
        <v>95</v>
      </c>
      <c r="C3" t="s">
        <v>96</v>
      </c>
      <c r="D3" t="s">
        <v>97</v>
      </c>
      <c r="E3" t="s">
        <v>30</v>
      </c>
      <c r="F3">
        <v>80.566999999999894</v>
      </c>
      <c r="G3" t="s">
        <v>21</v>
      </c>
      <c r="H3">
        <v>1.44</v>
      </c>
      <c r="I3">
        <v>0</v>
      </c>
      <c r="J3">
        <v>0.04</v>
      </c>
      <c r="K3">
        <v>3.22</v>
      </c>
      <c r="L3">
        <v>116.02</v>
      </c>
      <c r="M3">
        <v>1.5</v>
      </c>
      <c r="N3">
        <v>120.85</v>
      </c>
      <c r="O3" t="s">
        <v>99</v>
      </c>
      <c r="P3">
        <v>0</v>
      </c>
    </row>
    <row r="4" spans="1:16" x14ac:dyDescent="0.25">
      <c r="A4" t="s">
        <v>70</v>
      </c>
      <c r="B4" t="s">
        <v>95</v>
      </c>
      <c r="C4" t="s">
        <v>96</v>
      </c>
      <c r="D4" t="s">
        <v>97</v>
      </c>
      <c r="E4" t="s">
        <v>30</v>
      </c>
      <c r="F4">
        <v>82.543000000000006</v>
      </c>
      <c r="G4" t="s">
        <v>21</v>
      </c>
      <c r="H4">
        <v>1.45</v>
      </c>
      <c r="I4">
        <v>0</v>
      </c>
      <c r="J4">
        <v>0.04</v>
      </c>
      <c r="K4">
        <v>3.3</v>
      </c>
      <c r="L4">
        <v>119.69</v>
      </c>
      <c r="M4">
        <v>1.51</v>
      </c>
      <c r="N4">
        <v>124.64</v>
      </c>
      <c r="O4" t="s">
        <v>100</v>
      </c>
      <c r="P4">
        <v>0</v>
      </c>
    </row>
    <row r="5" spans="1:16" x14ac:dyDescent="0.25">
      <c r="A5" t="s">
        <v>72</v>
      </c>
      <c r="B5" t="s">
        <v>95</v>
      </c>
      <c r="C5" t="s">
        <v>96</v>
      </c>
      <c r="D5" t="s">
        <v>97</v>
      </c>
      <c r="E5" t="s">
        <v>30</v>
      </c>
      <c r="F5">
        <v>83.099000000000004</v>
      </c>
      <c r="G5" t="s">
        <v>21</v>
      </c>
      <c r="H5">
        <v>1.44</v>
      </c>
      <c r="I5">
        <v>0</v>
      </c>
      <c r="J5">
        <v>0.04</v>
      </c>
      <c r="K5">
        <v>3.32</v>
      </c>
      <c r="L5">
        <v>119.66</v>
      </c>
      <c r="M5">
        <v>1.51</v>
      </c>
      <c r="N5">
        <v>125.48</v>
      </c>
      <c r="O5" t="s">
        <v>101</v>
      </c>
      <c r="P5">
        <v>0</v>
      </c>
    </row>
    <row r="6" spans="1:16" x14ac:dyDescent="0.25">
      <c r="A6" t="s">
        <v>86</v>
      </c>
      <c r="B6" t="s">
        <v>95</v>
      </c>
      <c r="C6" t="s">
        <v>96</v>
      </c>
      <c r="D6" t="s">
        <v>97</v>
      </c>
      <c r="E6" t="s">
        <v>30</v>
      </c>
      <c r="F6">
        <v>89.563000000000002</v>
      </c>
      <c r="G6" t="s">
        <v>21</v>
      </c>
      <c r="H6">
        <v>1.43</v>
      </c>
      <c r="I6">
        <v>0</v>
      </c>
      <c r="J6">
        <v>0.04</v>
      </c>
      <c r="K6">
        <v>3.58</v>
      </c>
      <c r="L6">
        <v>128.08000000000001</v>
      </c>
      <c r="M6">
        <v>1.51</v>
      </c>
      <c r="N6">
        <v>135.24</v>
      </c>
      <c r="O6" t="s">
        <v>102</v>
      </c>
      <c r="P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8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103</v>
      </c>
      <c r="C2" t="s">
        <v>104</v>
      </c>
      <c r="D2" t="s">
        <v>105</v>
      </c>
      <c r="E2" t="s">
        <v>20</v>
      </c>
      <c r="F2">
        <v>48.71</v>
      </c>
      <c r="G2" t="s">
        <v>21</v>
      </c>
      <c r="H2">
        <v>1.65</v>
      </c>
      <c r="I2">
        <v>0</v>
      </c>
      <c r="J2">
        <v>0</v>
      </c>
      <c r="K2">
        <v>0.15</v>
      </c>
      <c r="L2">
        <v>80.37</v>
      </c>
      <c r="M2">
        <v>1.69</v>
      </c>
      <c r="N2">
        <v>82.32</v>
      </c>
      <c r="O2" t="s">
        <v>106</v>
      </c>
      <c r="P2">
        <v>0</v>
      </c>
    </row>
    <row r="3" spans="1:16" x14ac:dyDescent="0.25">
      <c r="A3" t="s">
        <v>107</v>
      </c>
      <c r="B3" t="s">
        <v>103</v>
      </c>
      <c r="C3" t="s">
        <v>104</v>
      </c>
      <c r="D3" t="s">
        <v>105</v>
      </c>
      <c r="E3" t="s">
        <v>30</v>
      </c>
      <c r="F3">
        <v>10.66</v>
      </c>
      <c r="G3" t="s">
        <v>21</v>
      </c>
      <c r="H3">
        <v>1.42</v>
      </c>
      <c r="I3">
        <v>0</v>
      </c>
      <c r="J3">
        <v>0.02</v>
      </c>
      <c r="K3">
        <v>0.21</v>
      </c>
      <c r="L3">
        <v>15.14</v>
      </c>
      <c r="M3">
        <v>1.5</v>
      </c>
      <c r="N3">
        <v>15.99</v>
      </c>
      <c r="O3" t="s">
        <v>108</v>
      </c>
      <c r="P3">
        <v>0</v>
      </c>
    </row>
    <row r="4" spans="1:16" x14ac:dyDescent="0.25">
      <c r="A4" t="s">
        <v>107</v>
      </c>
      <c r="B4" t="s">
        <v>103</v>
      </c>
      <c r="C4" t="s">
        <v>104</v>
      </c>
      <c r="D4" t="s">
        <v>105</v>
      </c>
      <c r="E4" t="s">
        <v>20</v>
      </c>
      <c r="F4">
        <v>56.813000000000002</v>
      </c>
      <c r="G4" t="s">
        <v>21</v>
      </c>
      <c r="H4">
        <v>1.71</v>
      </c>
      <c r="I4">
        <v>0</v>
      </c>
      <c r="J4">
        <v>0.01</v>
      </c>
      <c r="K4">
        <v>0.56999999999999995</v>
      </c>
      <c r="L4">
        <v>97.15</v>
      </c>
      <c r="M4">
        <v>1.76</v>
      </c>
      <c r="N4">
        <v>99.99</v>
      </c>
      <c r="O4" t="s">
        <v>109</v>
      </c>
      <c r="P4">
        <v>0</v>
      </c>
    </row>
    <row r="5" spans="1:16" x14ac:dyDescent="0.25">
      <c r="A5" t="s">
        <v>58</v>
      </c>
      <c r="B5" t="s">
        <v>103</v>
      </c>
      <c r="C5" t="s">
        <v>104</v>
      </c>
      <c r="D5" t="s">
        <v>105</v>
      </c>
      <c r="E5" t="s">
        <v>20</v>
      </c>
      <c r="F5">
        <v>45.563000000000002</v>
      </c>
      <c r="G5" t="s">
        <v>21</v>
      </c>
      <c r="H5">
        <v>1.73</v>
      </c>
      <c r="I5">
        <v>0</v>
      </c>
      <c r="J5">
        <v>0.01</v>
      </c>
      <c r="K5">
        <v>0.46</v>
      </c>
      <c r="L5">
        <v>78.819999999999993</v>
      </c>
      <c r="M5">
        <v>1.76</v>
      </c>
      <c r="N5">
        <v>80.19</v>
      </c>
      <c r="O5" t="s">
        <v>110</v>
      </c>
      <c r="P5">
        <v>0</v>
      </c>
    </row>
    <row r="6" spans="1:16" x14ac:dyDescent="0.25">
      <c r="A6" t="s">
        <v>111</v>
      </c>
      <c r="B6" t="s">
        <v>103</v>
      </c>
      <c r="C6" t="s">
        <v>104</v>
      </c>
      <c r="D6" t="s">
        <v>105</v>
      </c>
      <c r="E6" t="s">
        <v>20</v>
      </c>
      <c r="F6">
        <v>48.932000000000002</v>
      </c>
      <c r="G6" t="s">
        <v>21</v>
      </c>
      <c r="H6">
        <v>1.73</v>
      </c>
      <c r="I6">
        <v>0</v>
      </c>
      <c r="J6">
        <v>0.01</v>
      </c>
      <c r="K6">
        <v>0.49</v>
      </c>
      <c r="L6">
        <v>84.65</v>
      </c>
      <c r="M6">
        <v>1.77</v>
      </c>
      <c r="N6">
        <v>86.61</v>
      </c>
      <c r="O6" t="s">
        <v>112</v>
      </c>
      <c r="P6">
        <v>0</v>
      </c>
    </row>
    <row r="7" spans="1:16" x14ac:dyDescent="0.25">
      <c r="A7" t="s">
        <v>66</v>
      </c>
      <c r="B7" t="s">
        <v>103</v>
      </c>
      <c r="C7" t="s">
        <v>104</v>
      </c>
      <c r="D7" t="s">
        <v>105</v>
      </c>
      <c r="E7" t="s">
        <v>20</v>
      </c>
      <c r="F7">
        <v>57.061999999999898</v>
      </c>
      <c r="G7" t="s">
        <v>21</v>
      </c>
      <c r="H7">
        <v>1.73</v>
      </c>
      <c r="I7">
        <v>0</v>
      </c>
      <c r="J7">
        <v>0.02</v>
      </c>
      <c r="K7">
        <v>1.1399999999999999</v>
      </c>
      <c r="L7">
        <v>98.72</v>
      </c>
      <c r="M7">
        <v>1.77</v>
      </c>
      <c r="N7">
        <v>101</v>
      </c>
      <c r="O7" t="s">
        <v>113</v>
      </c>
      <c r="P7">
        <v>0</v>
      </c>
    </row>
    <row r="8" spans="1:16" x14ac:dyDescent="0.25">
      <c r="A8" t="s">
        <v>114</v>
      </c>
      <c r="B8" t="s">
        <v>24</v>
      </c>
      <c r="C8" t="s">
        <v>104</v>
      </c>
      <c r="D8" t="s">
        <v>105</v>
      </c>
      <c r="E8" t="s">
        <v>20</v>
      </c>
      <c r="F8">
        <v>16.661000000000001</v>
      </c>
      <c r="G8" t="s">
        <v>21</v>
      </c>
      <c r="H8">
        <v>1.76</v>
      </c>
      <c r="I8">
        <v>0</v>
      </c>
      <c r="J8">
        <v>0.02</v>
      </c>
      <c r="K8">
        <v>0.33</v>
      </c>
      <c r="L8">
        <v>29.32</v>
      </c>
      <c r="M8">
        <v>1.8</v>
      </c>
      <c r="N8">
        <v>29.99</v>
      </c>
      <c r="O8" t="s">
        <v>115</v>
      </c>
      <c r="P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P3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111</v>
      </c>
      <c r="B2" t="s">
        <v>116</v>
      </c>
      <c r="C2" t="s">
        <v>117</v>
      </c>
      <c r="D2" t="s">
        <v>118</v>
      </c>
      <c r="E2" t="s">
        <v>30</v>
      </c>
      <c r="F2">
        <v>26.66</v>
      </c>
      <c r="G2" t="s">
        <v>21</v>
      </c>
      <c r="H2">
        <v>1.43</v>
      </c>
      <c r="I2">
        <v>0</v>
      </c>
      <c r="J2">
        <v>0.03</v>
      </c>
      <c r="K2">
        <v>0.8</v>
      </c>
      <c r="L2">
        <v>38.119999999999997</v>
      </c>
      <c r="M2">
        <v>1.5</v>
      </c>
      <c r="N2">
        <v>39.99</v>
      </c>
      <c r="O2" t="s">
        <v>119</v>
      </c>
      <c r="P2">
        <v>0</v>
      </c>
    </row>
    <row r="3" spans="1:16" x14ac:dyDescent="0.25">
      <c r="A3" t="s">
        <v>82</v>
      </c>
      <c r="B3" t="s">
        <v>116</v>
      </c>
      <c r="C3" t="s">
        <v>117</v>
      </c>
      <c r="D3" t="s">
        <v>118</v>
      </c>
      <c r="E3" t="s">
        <v>30</v>
      </c>
      <c r="F3">
        <v>26.489999999999899</v>
      </c>
      <c r="G3" t="s">
        <v>21</v>
      </c>
      <c r="H3">
        <v>1.42</v>
      </c>
      <c r="I3">
        <v>0</v>
      </c>
      <c r="J3">
        <v>0.03</v>
      </c>
      <c r="K3">
        <v>0.79</v>
      </c>
      <c r="L3">
        <v>37.619999999999997</v>
      </c>
      <c r="M3">
        <v>1.51</v>
      </c>
      <c r="N3">
        <v>40</v>
      </c>
      <c r="O3" t="s">
        <v>120</v>
      </c>
      <c r="P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21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32</v>
      </c>
      <c r="C2" t="s">
        <v>121</v>
      </c>
      <c r="D2" t="s">
        <v>122</v>
      </c>
      <c r="E2" t="s">
        <v>20</v>
      </c>
      <c r="F2">
        <v>356.45600000000002</v>
      </c>
      <c r="G2" t="s">
        <v>21</v>
      </c>
      <c r="H2">
        <v>1.65</v>
      </c>
      <c r="I2">
        <v>0</v>
      </c>
      <c r="J2">
        <v>0</v>
      </c>
      <c r="K2">
        <v>1.07</v>
      </c>
      <c r="L2">
        <v>588.15</v>
      </c>
      <c r="M2">
        <v>1.69</v>
      </c>
      <c r="N2">
        <v>602.41</v>
      </c>
      <c r="O2" t="s">
        <v>123</v>
      </c>
      <c r="P2">
        <v>0</v>
      </c>
    </row>
    <row r="3" spans="1:16" x14ac:dyDescent="0.25">
      <c r="A3" t="s">
        <v>42</v>
      </c>
      <c r="B3" t="s">
        <v>32</v>
      </c>
      <c r="C3" t="s">
        <v>121</v>
      </c>
      <c r="D3" t="s">
        <v>122</v>
      </c>
      <c r="E3" t="s">
        <v>20</v>
      </c>
      <c r="F3">
        <v>543.85199999999895</v>
      </c>
      <c r="G3" t="s">
        <v>21</v>
      </c>
      <c r="H3">
        <v>1.65</v>
      </c>
      <c r="I3">
        <v>0</v>
      </c>
      <c r="J3">
        <v>0</v>
      </c>
      <c r="K3">
        <v>1.63</v>
      </c>
      <c r="L3">
        <v>897.36</v>
      </c>
      <c r="M3">
        <v>1.69</v>
      </c>
      <c r="N3">
        <v>919.11</v>
      </c>
      <c r="O3" t="s">
        <v>124</v>
      </c>
      <c r="P3">
        <v>0</v>
      </c>
    </row>
    <row r="4" spans="1:16" x14ac:dyDescent="0.25">
      <c r="A4" t="s">
        <v>107</v>
      </c>
      <c r="B4" t="s">
        <v>24</v>
      </c>
      <c r="C4" t="s">
        <v>125</v>
      </c>
      <c r="D4" t="s">
        <v>126</v>
      </c>
      <c r="E4" t="s">
        <v>20</v>
      </c>
      <c r="F4">
        <v>30.96</v>
      </c>
      <c r="G4" t="s">
        <v>21</v>
      </c>
      <c r="H4">
        <v>1.71</v>
      </c>
      <c r="I4">
        <v>0</v>
      </c>
      <c r="J4">
        <v>0.01</v>
      </c>
      <c r="K4">
        <v>0.31</v>
      </c>
      <c r="L4">
        <v>52.94</v>
      </c>
      <c r="M4">
        <v>1.76</v>
      </c>
      <c r="N4">
        <v>54.49</v>
      </c>
      <c r="O4" t="s">
        <v>127</v>
      </c>
      <c r="P4">
        <v>0</v>
      </c>
    </row>
    <row r="5" spans="1:16" x14ac:dyDescent="0.25">
      <c r="A5" t="s">
        <v>58</v>
      </c>
      <c r="B5" t="s">
        <v>17</v>
      </c>
      <c r="C5" t="s">
        <v>121</v>
      </c>
      <c r="D5" t="s">
        <v>122</v>
      </c>
      <c r="E5" t="s">
        <v>20</v>
      </c>
      <c r="F5">
        <v>900</v>
      </c>
      <c r="G5" t="s">
        <v>21</v>
      </c>
      <c r="H5">
        <v>1.73</v>
      </c>
      <c r="I5">
        <v>0</v>
      </c>
      <c r="J5">
        <v>0.01</v>
      </c>
      <c r="K5">
        <v>9</v>
      </c>
      <c r="L5">
        <v>1557</v>
      </c>
      <c r="M5">
        <v>1.76</v>
      </c>
      <c r="N5">
        <v>1584</v>
      </c>
      <c r="O5" t="s">
        <v>128</v>
      </c>
      <c r="P5">
        <v>0</v>
      </c>
    </row>
    <row r="6" spans="1:16" x14ac:dyDescent="0.25">
      <c r="A6" t="s">
        <v>58</v>
      </c>
      <c r="B6" t="s">
        <v>17</v>
      </c>
      <c r="C6" t="s">
        <v>121</v>
      </c>
      <c r="D6" t="s">
        <v>122</v>
      </c>
      <c r="E6" t="s">
        <v>20</v>
      </c>
      <c r="F6">
        <v>990</v>
      </c>
      <c r="G6" t="s">
        <v>21</v>
      </c>
      <c r="H6">
        <v>1.73</v>
      </c>
      <c r="I6">
        <v>0</v>
      </c>
      <c r="J6">
        <v>0.01</v>
      </c>
      <c r="K6">
        <v>9.9</v>
      </c>
      <c r="L6">
        <v>1712.7</v>
      </c>
      <c r="M6">
        <v>1.76</v>
      </c>
      <c r="N6">
        <v>1742.4</v>
      </c>
      <c r="O6" t="s">
        <v>129</v>
      </c>
      <c r="P6">
        <v>0</v>
      </c>
    </row>
    <row r="7" spans="1:16" x14ac:dyDescent="0.25">
      <c r="A7" t="s">
        <v>58</v>
      </c>
      <c r="B7" t="s">
        <v>130</v>
      </c>
      <c r="C7" t="s">
        <v>131</v>
      </c>
      <c r="D7" t="s">
        <v>132</v>
      </c>
      <c r="E7" t="s">
        <v>30</v>
      </c>
      <c r="F7">
        <v>51.899999999999899</v>
      </c>
      <c r="G7" t="s">
        <v>21</v>
      </c>
      <c r="H7">
        <v>1.43</v>
      </c>
      <c r="I7">
        <v>0</v>
      </c>
      <c r="J7">
        <v>0.03</v>
      </c>
      <c r="K7">
        <v>1.56</v>
      </c>
      <c r="L7">
        <v>74.22</v>
      </c>
      <c r="M7">
        <v>1.5</v>
      </c>
      <c r="N7">
        <v>77.849999999999994</v>
      </c>
      <c r="O7" t="s">
        <v>133</v>
      </c>
      <c r="P7">
        <v>0</v>
      </c>
    </row>
    <row r="8" spans="1:16" x14ac:dyDescent="0.25">
      <c r="A8" t="s">
        <v>134</v>
      </c>
      <c r="B8" t="s">
        <v>17</v>
      </c>
      <c r="C8" t="s">
        <v>125</v>
      </c>
      <c r="D8" t="s">
        <v>126</v>
      </c>
      <c r="E8" t="s">
        <v>20</v>
      </c>
      <c r="F8">
        <v>37</v>
      </c>
      <c r="G8" t="s">
        <v>21</v>
      </c>
      <c r="H8">
        <v>1.73</v>
      </c>
      <c r="I8">
        <v>0</v>
      </c>
      <c r="J8">
        <v>0.02</v>
      </c>
      <c r="K8">
        <v>0.74</v>
      </c>
      <c r="L8">
        <v>64.010000000000005</v>
      </c>
      <c r="M8">
        <v>1.79</v>
      </c>
      <c r="N8">
        <v>66.23</v>
      </c>
      <c r="O8" t="s">
        <v>135</v>
      </c>
      <c r="P8">
        <v>0</v>
      </c>
    </row>
    <row r="9" spans="1:16" x14ac:dyDescent="0.25">
      <c r="A9" t="s">
        <v>136</v>
      </c>
      <c r="B9" t="s">
        <v>137</v>
      </c>
      <c r="C9" t="s">
        <v>125</v>
      </c>
      <c r="D9" t="s">
        <v>126</v>
      </c>
      <c r="E9" t="s">
        <v>20</v>
      </c>
      <c r="F9">
        <v>67.010999999999896</v>
      </c>
      <c r="G9" t="s">
        <v>21</v>
      </c>
      <c r="H9">
        <v>1.76</v>
      </c>
      <c r="I9">
        <v>0</v>
      </c>
      <c r="J9">
        <v>0.02</v>
      </c>
      <c r="K9">
        <v>1.34</v>
      </c>
      <c r="L9">
        <v>117.94</v>
      </c>
      <c r="M9">
        <v>1.75</v>
      </c>
      <c r="N9">
        <v>117.27</v>
      </c>
      <c r="O9" t="s">
        <v>138</v>
      </c>
    </row>
    <row r="10" spans="1:16" x14ac:dyDescent="0.25">
      <c r="A10" t="s">
        <v>114</v>
      </c>
      <c r="B10" t="s">
        <v>84</v>
      </c>
      <c r="C10" t="s">
        <v>125</v>
      </c>
      <c r="D10" t="s">
        <v>126</v>
      </c>
      <c r="E10" t="s">
        <v>20</v>
      </c>
      <c r="F10">
        <v>33</v>
      </c>
      <c r="G10" t="s">
        <v>21</v>
      </c>
      <c r="H10">
        <v>1.76</v>
      </c>
      <c r="I10">
        <v>0</v>
      </c>
      <c r="J10">
        <v>0.02</v>
      </c>
      <c r="K10">
        <v>0.66</v>
      </c>
      <c r="L10">
        <v>58.08</v>
      </c>
      <c r="M10">
        <v>1.81</v>
      </c>
      <c r="N10">
        <v>59.73</v>
      </c>
      <c r="O10" t="s">
        <v>139</v>
      </c>
      <c r="P10">
        <v>0</v>
      </c>
    </row>
    <row r="11" spans="1:16" x14ac:dyDescent="0.25">
      <c r="A11" t="s">
        <v>114</v>
      </c>
      <c r="B11" t="s">
        <v>17</v>
      </c>
      <c r="C11" t="s">
        <v>121</v>
      </c>
      <c r="D11" t="s">
        <v>122</v>
      </c>
      <c r="E11" t="s">
        <v>20</v>
      </c>
      <c r="F11">
        <v>656.98900000000003</v>
      </c>
      <c r="G11" t="s">
        <v>21</v>
      </c>
      <c r="H11">
        <v>1.76</v>
      </c>
      <c r="I11">
        <v>0</v>
      </c>
      <c r="J11">
        <v>0.02</v>
      </c>
      <c r="K11">
        <v>13.14</v>
      </c>
      <c r="L11">
        <v>1156.3</v>
      </c>
      <c r="M11">
        <v>1.8</v>
      </c>
      <c r="N11">
        <v>1182.58</v>
      </c>
      <c r="O11" t="s">
        <v>140</v>
      </c>
      <c r="P11">
        <v>0</v>
      </c>
    </row>
    <row r="12" spans="1:16" x14ac:dyDescent="0.25">
      <c r="A12" t="s">
        <v>141</v>
      </c>
      <c r="B12" t="s">
        <v>17</v>
      </c>
      <c r="C12" t="s">
        <v>121</v>
      </c>
      <c r="D12" t="s">
        <v>122</v>
      </c>
      <c r="E12" t="s">
        <v>20</v>
      </c>
      <c r="F12">
        <v>1046</v>
      </c>
      <c r="G12" t="s">
        <v>21</v>
      </c>
      <c r="H12">
        <v>1.75</v>
      </c>
      <c r="I12">
        <v>0</v>
      </c>
      <c r="J12">
        <v>0.02</v>
      </c>
      <c r="K12">
        <v>20.92</v>
      </c>
      <c r="L12">
        <v>1830.5</v>
      </c>
      <c r="M12">
        <v>1.81</v>
      </c>
      <c r="N12">
        <v>1893.26</v>
      </c>
      <c r="O12" t="s">
        <v>142</v>
      </c>
      <c r="P12">
        <v>0</v>
      </c>
    </row>
    <row r="13" spans="1:16" x14ac:dyDescent="0.25">
      <c r="A13" t="s">
        <v>77</v>
      </c>
      <c r="B13" t="s">
        <v>17</v>
      </c>
      <c r="C13" t="s">
        <v>121</v>
      </c>
      <c r="D13" t="s">
        <v>122</v>
      </c>
      <c r="E13" t="s">
        <v>20</v>
      </c>
      <c r="F13">
        <v>990</v>
      </c>
      <c r="G13" t="s">
        <v>21</v>
      </c>
      <c r="H13">
        <v>1.73</v>
      </c>
      <c r="I13">
        <v>0</v>
      </c>
      <c r="J13">
        <v>0.02</v>
      </c>
      <c r="K13">
        <v>19.8</v>
      </c>
      <c r="L13">
        <v>1712.7</v>
      </c>
      <c r="M13">
        <v>1.82</v>
      </c>
      <c r="N13">
        <v>1801.8</v>
      </c>
      <c r="O13" t="s">
        <v>143</v>
      </c>
      <c r="P13">
        <v>0</v>
      </c>
    </row>
    <row r="14" spans="1:16" x14ac:dyDescent="0.25">
      <c r="A14" t="s">
        <v>77</v>
      </c>
      <c r="B14" t="s">
        <v>130</v>
      </c>
      <c r="C14" t="s">
        <v>131</v>
      </c>
      <c r="D14" t="s">
        <v>132</v>
      </c>
      <c r="E14" t="s">
        <v>30</v>
      </c>
      <c r="F14">
        <v>26.152000000000001</v>
      </c>
      <c r="G14" t="s">
        <v>21</v>
      </c>
      <c r="H14">
        <v>1.43</v>
      </c>
      <c r="I14">
        <v>0</v>
      </c>
      <c r="J14">
        <v>0.03</v>
      </c>
      <c r="K14">
        <v>0.78</v>
      </c>
      <c r="L14">
        <v>37.4</v>
      </c>
      <c r="M14">
        <v>1.51</v>
      </c>
      <c r="N14">
        <v>39.49</v>
      </c>
      <c r="O14" t="s">
        <v>144</v>
      </c>
      <c r="P14">
        <v>0</v>
      </c>
    </row>
    <row r="15" spans="1:16" x14ac:dyDescent="0.25">
      <c r="A15" t="s">
        <v>145</v>
      </c>
      <c r="B15" t="s">
        <v>17</v>
      </c>
      <c r="C15" t="s">
        <v>121</v>
      </c>
      <c r="D15" t="s">
        <v>122</v>
      </c>
      <c r="E15" t="s">
        <v>20</v>
      </c>
      <c r="F15">
        <v>990</v>
      </c>
      <c r="G15" t="s">
        <v>21</v>
      </c>
      <c r="H15">
        <v>1.72</v>
      </c>
      <c r="I15">
        <v>0</v>
      </c>
      <c r="J15">
        <v>0.02</v>
      </c>
      <c r="K15">
        <v>19.8</v>
      </c>
      <c r="L15">
        <v>1702.8</v>
      </c>
      <c r="M15">
        <v>1.82</v>
      </c>
      <c r="N15">
        <v>1801.8</v>
      </c>
      <c r="O15" t="s">
        <v>146</v>
      </c>
      <c r="P15">
        <v>0</v>
      </c>
    </row>
    <row r="16" spans="1:16" x14ac:dyDescent="0.25">
      <c r="A16" t="s">
        <v>82</v>
      </c>
      <c r="B16" t="s">
        <v>17</v>
      </c>
      <c r="C16" t="s">
        <v>121</v>
      </c>
      <c r="D16" t="s">
        <v>122</v>
      </c>
      <c r="E16" t="s">
        <v>20</v>
      </c>
      <c r="F16">
        <v>750</v>
      </c>
      <c r="G16" t="s">
        <v>21</v>
      </c>
      <c r="H16">
        <v>1.7</v>
      </c>
      <c r="I16">
        <v>0</v>
      </c>
      <c r="J16">
        <v>0.02</v>
      </c>
      <c r="K16">
        <v>15</v>
      </c>
      <c r="L16">
        <v>1275</v>
      </c>
      <c r="M16">
        <v>1.82</v>
      </c>
      <c r="N16">
        <v>1365</v>
      </c>
      <c r="O16" t="s">
        <v>147</v>
      </c>
      <c r="P16">
        <v>0</v>
      </c>
    </row>
    <row r="17" spans="1:16" x14ac:dyDescent="0.25">
      <c r="A17" t="s">
        <v>82</v>
      </c>
      <c r="B17" t="s">
        <v>95</v>
      </c>
      <c r="C17" t="s">
        <v>121</v>
      </c>
      <c r="D17" t="s">
        <v>122</v>
      </c>
      <c r="E17" t="s">
        <v>20</v>
      </c>
      <c r="F17">
        <v>99.989000000000004</v>
      </c>
      <c r="G17" t="s">
        <v>21</v>
      </c>
      <c r="H17">
        <v>1.7</v>
      </c>
      <c r="I17">
        <v>0</v>
      </c>
      <c r="J17">
        <v>0.02</v>
      </c>
      <c r="K17">
        <v>2</v>
      </c>
      <c r="L17">
        <v>169.98</v>
      </c>
      <c r="M17">
        <v>1.82</v>
      </c>
      <c r="N17">
        <v>181.98</v>
      </c>
      <c r="O17" t="s">
        <v>148</v>
      </c>
      <c r="P17">
        <v>0</v>
      </c>
    </row>
    <row r="18" spans="1:16" x14ac:dyDescent="0.25">
      <c r="A18" t="s">
        <v>16</v>
      </c>
      <c r="B18" t="s">
        <v>17</v>
      </c>
      <c r="C18" t="s">
        <v>121</v>
      </c>
      <c r="D18" t="s">
        <v>122</v>
      </c>
      <c r="E18" t="s">
        <v>20</v>
      </c>
      <c r="F18">
        <v>900</v>
      </c>
      <c r="G18" t="s">
        <v>21</v>
      </c>
      <c r="H18">
        <v>1.69</v>
      </c>
      <c r="I18">
        <v>0</v>
      </c>
      <c r="J18">
        <v>0.02</v>
      </c>
      <c r="K18">
        <v>18</v>
      </c>
      <c r="L18">
        <v>1521</v>
      </c>
      <c r="M18">
        <v>1.81</v>
      </c>
      <c r="N18">
        <v>1629</v>
      </c>
      <c r="O18" t="s">
        <v>149</v>
      </c>
      <c r="P18">
        <v>0</v>
      </c>
    </row>
    <row r="19" spans="1:16" x14ac:dyDescent="0.25">
      <c r="A19" t="s">
        <v>16</v>
      </c>
      <c r="B19" t="s">
        <v>130</v>
      </c>
      <c r="C19" t="s">
        <v>131</v>
      </c>
      <c r="D19" t="s">
        <v>132</v>
      </c>
      <c r="E19" t="s">
        <v>30</v>
      </c>
      <c r="F19">
        <v>62.093000000000004</v>
      </c>
      <c r="G19" t="s">
        <v>21</v>
      </c>
      <c r="H19">
        <v>1.42</v>
      </c>
      <c r="I19">
        <v>0</v>
      </c>
      <c r="J19">
        <v>0.03</v>
      </c>
      <c r="K19">
        <v>1.86</v>
      </c>
      <c r="L19">
        <v>88.17</v>
      </c>
      <c r="M19">
        <v>1.51</v>
      </c>
      <c r="N19">
        <v>93.76</v>
      </c>
      <c r="O19" t="s">
        <v>150</v>
      </c>
      <c r="P19">
        <v>0</v>
      </c>
    </row>
    <row r="20" spans="1:16" x14ac:dyDescent="0.25">
      <c r="A20" t="s">
        <v>151</v>
      </c>
      <c r="B20" t="s">
        <v>17</v>
      </c>
      <c r="C20" t="s">
        <v>121</v>
      </c>
      <c r="D20" t="s">
        <v>122</v>
      </c>
      <c r="E20" t="s">
        <v>20</v>
      </c>
      <c r="F20">
        <v>900</v>
      </c>
      <c r="G20" t="s">
        <v>21</v>
      </c>
      <c r="H20">
        <v>1.67</v>
      </c>
      <c r="I20">
        <v>0</v>
      </c>
      <c r="J20">
        <v>0.02</v>
      </c>
      <c r="K20">
        <v>18</v>
      </c>
      <c r="L20">
        <v>1503</v>
      </c>
      <c r="M20">
        <v>1.8</v>
      </c>
      <c r="N20">
        <v>1620</v>
      </c>
      <c r="O20" t="s">
        <v>152</v>
      </c>
      <c r="P20">
        <v>0</v>
      </c>
    </row>
    <row r="21" spans="1:16" x14ac:dyDescent="0.25">
      <c r="A21" t="s">
        <v>23</v>
      </c>
      <c r="B21" t="s">
        <v>130</v>
      </c>
      <c r="C21" t="s">
        <v>131</v>
      </c>
      <c r="D21" t="s">
        <v>132</v>
      </c>
      <c r="E21" t="s">
        <v>20</v>
      </c>
      <c r="F21">
        <v>39.549999999999898</v>
      </c>
      <c r="G21" t="s">
        <v>21</v>
      </c>
      <c r="H21">
        <v>1.67</v>
      </c>
      <c r="I21">
        <v>0</v>
      </c>
      <c r="J21">
        <v>0.02</v>
      </c>
      <c r="K21">
        <v>0.79</v>
      </c>
      <c r="L21">
        <v>66.05</v>
      </c>
      <c r="M21">
        <v>1.8</v>
      </c>
      <c r="N21">
        <v>71.19</v>
      </c>
      <c r="O21" t="s">
        <v>153</v>
      </c>
      <c r="P2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15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103</v>
      </c>
      <c r="C2" t="s">
        <v>154</v>
      </c>
      <c r="D2" t="s">
        <v>155</v>
      </c>
      <c r="E2" t="s">
        <v>20</v>
      </c>
      <c r="F2">
        <v>11.8279999999999</v>
      </c>
      <c r="G2" t="s">
        <v>21</v>
      </c>
      <c r="H2">
        <v>1.65</v>
      </c>
      <c r="I2">
        <v>0</v>
      </c>
      <c r="J2">
        <v>0</v>
      </c>
      <c r="K2">
        <v>0.04</v>
      </c>
      <c r="L2">
        <v>19.52</v>
      </c>
      <c r="M2">
        <v>1.69</v>
      </c>
      <c r="N2">
        <v>19.989999999999998</v>
      </c>
      <c r="O2" t="s">
        <v>156</v>
      </c>
      <c r="P2">
        <v>0</v>
      </c>
    </row>
    <row r="3" spans="1:16" x14ac:dyDescent="0.25">
      <c r="A3" t="s">
        <v>107</v>
      </c>
      <c r="B3" t="s">
        <v>103</v>
      </c>
      <c r="C3" t="s">
        <v>154</v>
      </c>
      <c r="D3" t="s">
        <v>155</v>
      </c>
      <c r="E3" t="s">
        <v>20</v>
      </c>
      <c r="F3">
        <v>17.079999999999899</v>
      </c>
      <c r="G3" t="s">
        <v>21</v>
      </c>
      <c r="H3">
        <v>1.71</v>
      </c>
      <c r="I3">
        <v>0</v>
      </c>
      <c r="J3">
        <v>0.01</v>
      </c>
      <c r="K3">
        <v>0.17</v>
      </c>
      <c r="L3">
        <v>29.21</v>
      </c>
      <c r="M3">
        <v>1.76</v>
      </c>
      <c r="N3">
        <v>30.06</v>
      </c>
      <c r="O3" t="s">
        <v>157</v>
      </c>
      <c r="P3">
        <v>0</v>
      </c>
    </row>
    <row r="4" spans="1:16" x14ac:dyDescent="0.25">
      <c r="A4" t="s">
        <v>158</v>
      </c>
      <c r="B4" t="s">
        <v>103</v>
      </c>
      <c r="C4" t="s">
        <v>154</v>
      </c>
      <c r="D4" t="s">
        <v>155</v>
      </c>
      <c r="E4" t="s">
        <v>20</v>
      </c>
      <c r="F4">
        <v>11.179</v>
      </c>
      <c r="G4" t="s">
        <v>21</v>
      </c>
      <c r="H4">
        <v>1.76</v>
      </c>
      <c r="I4">
        <v>0</v>
      </c>
      <c r="J4">
        <v>0.02</v>
      </c>
      <c r="K4">
        <v>0.22</v>
      </c>
      <c r="L4">
        <v>19.68</v>
      </c>
      <c r="M4">
        <v>1.79</v>
      </c>
      <c r="N4">
        <v>20.010000000000002</v>
      </c>
      <c r="O4" t="s">
        <v>159</v>
      </c>
      <c r="P4">
        <v>0</v>
      </c>
    </row>
    <row r="5" spans="1:16" x14ac:dyDescent="0.25">
      <c r="A5" t="s">
        <v>114</v>
      </c>
      <c r="B5" t="s">
        <v>103</v>
      </c>
      <c r="C5" t="s">
        <v>154</v>
      </c>
      <c r="D5" t="s">
        <v>155</v>
      </c>
      <c r="E5" t="s">
        <v>30</v>
      </c>
      <c r="F5">
        <v>9.2910000000000004</v>
      </c>
      <c r="G5" t="s">
        <v>21</v>
      </c>
      <c r="H5">
        <v>1.43</v>
      </c>
      <c r="I5">
        <v>0</v>
      </c>
      <c r="J5">
        <v>0.02</v>
      </c>
      <c r="K5">
        <v>0.19</v>
      </c>
      <c r="L5">
        <v>13.29</v>
      </c>
      <c r="M5">
        <v>1.51</v>
      </c>
      <c r="N5">
        <v>14.03</v>
      </c>
      <c r="O5" t="s">
        <v>160</v>
      </c>
      <c r="P5">
        <v>0</v>
      </c>
    </row>
    <row r="6" spans="1:16" x14ac:dyDescent="0.25">
      <c r="A6" t="s">
        <v>114</v>
      </c>
      <c r="B6" t="s">
        <v>103</v>
      </c>
      <c r="C6" t="s">
        <v>154</v>
      </c>
      <c r="D6" t="s">
        <v>155</v>
      </c>
      <c r="E6" t="s">
        <v>20</v>
      </c>
      <c r="F6">
        <v>8.8780000000000001</v>
      </c>
      <c r="G6" t="s">
        <v>21</v>
      </c>
      <c r="H6">
        <v>1.76</v>
      </c>
      <c r="I6">
        <v>0</v>
      </c>
      <c r="J6">
        <v>0.02</v>
      </c>
      <c r="K6">
        <v>0.18</v>
      </c>
      <c r="L6">
        <v>15.63</v>
      </c>
      <c r="M6">
        <v>1.8</v>
      </c>
      <c r="N6">
        <v>15.98</v>
      </c>
      <c r="O6" t="s">
        <v>161</v>
      </c>
      <c r="P6">
        <v>0</v>
      </c>
    </row>
    <row r="7" spans="1:16" x14ac:dyDescent="0.25">
      <c r="A7" t="s">
        <v>70</v>
      </c>
      <c r="B7" t="s">
        <v>103</v>
      </c>
      <c r="C7" t="s">
        <v>154</v>
      </c>
      <c r="D7" t="s">
        <v>155</v>
      </c>
      <c r="E7" t="s">
        <v>20</v>
      </c>
      <c r="F7">
        <v>46.960999999999899</v>
      </c>
      <c r="G7" t="s">
        <v>21</v>
      </c>
      <c r="H7">
        <v>1.76</v>
      </c>
      <c r="I7">
        <v>0</v>
      </c>
      <c r="J7">
        <v>0.02</v>
      </c>
      <c r="K7">
        <v>0.94</v>
      </c>
      <c r="L7">
        <v>82.65</v>
      </c>
      <c r="M7">
        <v>1.81</v>
      </c>
      <c r="N7">
        <v>85</v>
      </c>
      <c r="O7" t="s">
        <v>162</v>
      </c>
      <c r="P7">
        <v>0</v>
      </c>
    </row>
    <row r="8" spans="1:16" x14ac:dyDescent="0.25">
      <c r="A8" t="s">
        <v>70</v>
      </c>
      <c r="B8" t="s">
        <v>103</v>
      </c>
      <c r="C8" t="s">
        <v>154</v>
      </c>
      <c r="D8" t="s">
        <v>155</v>
      </c>
      <c r="E8" t="s">
        <v>30</v>
      </c>
      <c r="F8">
        <v>19.861000000000001</v>
      </c>
      <c r="G8" t="s">
        <v>21</v>
      </c>
      <c r="H8">
        <v>1.43</v>
      </c>
      <c r="I8">
        <v>0</v>
      </c>
      <c r="J8">
        <v>0.02</v>
      </c>
      <c r="K8">
        <v>0.4</v>
      </c>
      <c r="L8">
        <v>28.4</v>
      </c>
      <c r="M8">
        <v>1.51</v>
      </c>
      <c r="N8">
        <v>29.99</v>
      </c>
      <c r="O8" t="s">
        <v>162</v>
      </c>
      <c r="P8">
        <v>0</v>
      </c>
    </row>
    <row r="9" spans="1:16" x14ac:dyDescent="0.25">
      <c r="A9" t="s">
        <v>163</v>
      </c>
      <c r="B9" t="s">
        <v>103</v>
      </c>
      <c r="C9" t="s">
        <v>154</v>
      </c>
      <c r="D9" t="s">
        <v>155</v>
      </c>
      <c r="E9" t="s">
        <v>30</v>
      </c>
      <c r="F9">
        <v>10</v>
      </c>
      <c r="G9" t="s">
        <v>21</v>
      </c>
      <c r="H9">
        <v>1.42</v>
      </c>
      <c r="I9">
        <v>0</v>
      </c>
      <c r="J9">
        <v>0.02</v>
      </c>
      <c r="K9">
        <v>0.2</v>
      </c>
      <c r="L9">
        <v>14.2</v>
      </c>
      <c r="M9">
        <v>1.51</v>
      </c>
      <c r="N9">
        <v>15.1</v>
      </c>
      <c r="O9" t="s">
        <v>164</v>
      </c>
      <c r="P9">
        <v>0</v>
      </c>
    </row>
    <row r="10" spans="1:16" x14ac:dyDescent="0.25">
      <c r="A10" t="s">
        <v>77</v>
      </c>
      <c r="B10" t="s">
        <v>103</v>
      </c>
      <c r="C10" t="s">
        <v>154</v>
      </c>
      <c r="D10" t="s">
        <v>155</v>
      </c>
      <c r="E10" t="s">
        <v>20</v>
      </c>
      <c r="F10">
        <v>13.742000000000001</v>
      </c>
      <c r="G10" t="s">
        <v>21</v>
      </c>
      <c r="H10">
        <v>1.73</v>
      </c>
      <c r="I10">
        <v>0</v>
      </c>
      <c r="J10">
        <v>0.02</v>
      </c>
      <c r="K10">
        <v>0.27</v>
      </c>
      <c r="L10">
        <v>23.77</v>
      </c>
      <c r="M10">
        <v>1.82</v>
      </c>
      <c r="N10">
        <v>25.01</v>
      </c>
      <c r="O10" t="s">
        <v>165</v>
      </c>
      <c r="P10">
        <v>0</v>
      </c>
    </row>
    <row r="11" spans="1:16" x14ac:dyDescent="0.25">
      <c r="A11" t="s">
        <v>83</v>
      </c>
      <c r="B11" t="s">
        <v>103</v>
      </c>
      <c r="C11" t="s">
        <v>166</v>
      </c>
      <c r="D11" t="s">
        <v>167</v>
      </c>
      <c r="E11" t="s">
        <v>20</v>
      </c>
      <c r="F11">
        <v>16.579999999999899</v>
      </c>
      <c r="G11" t="s">
        <v>21</v>
      </c>
      <c r="H11">
        <v>1.69</v>
      </c>
      <c r="I11">
        <v>0</v>
      </c>
      <c r="J11">
        <v>0.02</v>
      </c>
      <c r="K11">
        <v>0.33</v>
      </c>
      <c r="L11">
        <v>28.02</v>
      </c>
      <c r="M11">
        <v>1.81</v>
      </c>
      <c r="N11">
        <v>30.01</v>
      </c>
      <c r="O11" t="s">
        <v>168</v>
      </c>
      <c r="P11">
        <v>0</v>
      </c>
    </row>
    <row r="12" spans="1:16" x14ac:dyDescent="0.25">
      <c r="A12" t="s">
        <v>83</v>
      </c>
      <c r="B12" t="s">
        <v>103</v>
      </c>
      <c r="C12" t="s">
        <v>154</v>
      </c>
      <c r="D12" t="s">
        <v>155</v>
      </c>
      <c r="E12" t="s">
        <v>20</v>
      </c>
      <c r="F12">
        <v>11.0719999999999</v>
      </c>
      <c r="G12" t="s">
        <v>21</v>
      </c>
      <c r="H12">
        <v>1.69</v>
      </c>
      <c r="I12">
        <v>0</v>
      </c>
      <c r="J12">
        <v>0.02</v>
      </c>
      <c r="K12">
        <v>0.22</v>
      </c>
      <c r="L12">
        <v>18.71</v>
      </c>
      <c r="M12">
        <v>1.81</v>
      </c>
      <c r="N12">
        <v>20.04</v>
      </c>
      <c r="O12" t="s">
        <v>169</v>
      </c>
      <c r="P12">
        <v>0</v>
      </c>
    </row>
    <row r="13" spans="1:16" x14ac:dyDescent="0.25">
      <c r="A13" t="s">
        <v>86</v>
      </c>
      <c r="B13" t="s">
        <v>103</v>
      </c>
      <c r="C13" t="s">
        <v>154</v>
      </c>
      <c r="D13" t="s">
        <v>155</v>
      </c>
      <c r="E13" t="s">
        <v>20</v>
      </c>
      <c r="F13">
        <v>9.657</v>
      </c>
      <c r="G13" t="s">
        <v>21</v>
      </c>
      <c r="H13">
        <v>1.69</v>
      </c>
      <c r="I13">
        <v>0</v>
      </c>
      <c r="J13">
        <v>0.02</v>
      </c>
      <c r="K13">
        <v>0.19</v>
      </c>
      <c r="L13">
        <v>16.32</v>
      </c>
      <c r="M13">
        <v>1.81</v>
      </c>
      <c r="N13">
        <v>17.48</v>
      </c>
      <c r="O13" t="s">
        <v>170</v>
      </c>
      <c r="P13">
        <v>0</v>
      </c>
    </row>
    <row r="14" spans="1:16" x14ac:dyDescent="0.25">
      <c r="A14" t="s">
        <v>86</v>
      </c>
      <c r="B14" t="s">
        <v>103</v>
      </c>
      <c r="C14" t="s">
        <v>166</v>
      </c>
      <c r="D14" t="s">
        <v>167</v>
      </c>
      <c r="E14" t="s">
        <v>20</v>
      </c>
      <c r="F14">
        <v>16.579999999999899</v>
      </c>
      <c r="G14" t="s">
        <v>21</v>
      </c>
      <c r="H14">
        <v>1.69</v>
      </c>
      <c r="I14">
        <v>0</v>
      </c>
      <c r="J14">
        <v>0.02</v>
      </c>
      <c r="K14">
        <v>0.33</v>
      </c>
      <c r="L14">
        <v>28.02</v>
      </c>
      <c r="M14">
        <v>1.81</v>
      </c>
      <c r="N14">
        <v>30.01</v>
      </c>
      <c r="O14" t="s">
        <v>171</v>
      </c>
      <c r="P14">
        <v>0</v>
      </c>
    </row>
    <row r="15" spans="1:16" x14ac:dyDescent="0.25">
      <c r="A15" t="s">
        <v>151</v>
      </c>
      <c r="B15" t="s">
        <v>103</v>
      </c>
      <c r="C15" t="s">
        <v>154</v>
      </c>
      <c r="D15" t="s">
        <v>155</v>
      </c>
      <c r="E15" t="s">
        <v>20</v>
      </c>
      <c r="F15">
        <v>66.671999999999898</v>
      </c>
      <c r="G15" t="s">
        <v>21</v>
      </c>
      <c r="H15">
        <v>1.67</v>
      </c>
      <c r="I15">
        <v>0</v>
      </c>
      <c r="J15">
        <v>0.02</v>
      </c>
      <c r="K15">
        <v>1.33</v>
      </c>
      <c r="L15">
        <v>111.34</v>
      </c>
      <c r="M15">
        <v>1.8</v>
      </c>
      <c r="N15">
        <v>120.01</v>
      </c>
      <c r="O15" t="s">
        <v>172</v>
      </c>
      <c r="P1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51"/>
  <sheetViews>
    <sheetView topLeftCell="A28" workbookViewId="0">
      <selection activeCell="E52" sqref="E52"/>
    </sheetView>
  </sheetViews>
  <sheetFormatPr defaultRowHeight="15" x14ac:dyDescent="0.25"/>
  <cols>
    <col min="1" max="1" width="10.42578125" bestFit="1" customWidth="1"/>
    <col min="2" max="2" width="29.7109375" customWidth="1"/>
    <col min="3" max="3" width="10.85546875" bestFit="1" customWidth="1"/>
    <col min="4" max="4" width="18.28515625" bestFit="1" customWidth="1"/>
    <col min="5" max="5" width="43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56</v>
      </c>
      <c r="B2" s="6" t="s">
        <v>173</v>
      </c>
      <c r="C2" s="6" t="s">
        <v>174</v>
      </c>
      <c r="D2" s="6" t="s">
        <v>175</v>
      </c>
      <c r="E2" s="6" t="s">
        <v>20</v>
      </c>
      <c r="F2" s="6">
        <v>64.39</v>
      </c>
      <c r="G2" s="6" t="s">
        <v>21</v>
      </c>
      <c r="H2" s="6">
        <v>1.65</v>
      </c>
      <c r="I2" s="6">
        <v>0</v>
      </c>
      <c r="J2" s="6">
        <v>0</v>
      </c>
      <c r="K2" s="6">
        <v>0.19</v>
      </c>
      <c r="L2" s="6">
        <v>106.24</v>
      </c>
      <c r="M2" s="6">
        <v>1.72</v>
      </c>
      <c r="N2" s="6">
        <v>110.75</v>
      </c>
      <c r="O2" s="6" t="s">
        <v>176</v>
      </c>
      <c r="P2" s="6">
        <v>0</v>
      </c>
    </row>
    <row r="3" spans="1:16" s="6" customFormat="1" x14ac:dyDescent="0.25">
      <c r="A3" s="6" t="s">
        <v>56</v>
      </c>
      <c r="B3" s="6" t="s">
        <v>177</v>
      </c>
      <c r="C3" s="6" t="s">
        <v>178</v>
      </c>
      <c r="D3" s="6" t="s">
        <v>179</v>
      </c>
      <c r="E3" s="6" t="s">
        <v>20</v>
      </c>
      <c r="F3" s="6">
        <v>33.628</v>
      </c>
      <c r="G3" s="6" t="s">
        <v>21</v>
      </c>
      <c r="H3" s="6">
        <v>1.65</v>
      </c>
      <c r="I3" s="6">
        <v>0</v>
      </c>
      <c r="J3" s="6">
        <v>0</v>
      </c>
      <c r="K3" s="6">
        <v>0.1</v>
      </c>
      <c r="L3" s="6">
        <v>55.49</v>
      </c>
      <c r="M3" s="6">
        <v>1.72</v>
      </c>
      <c r="N3" s="6">
        <v>57.84</v>
      </c>
      <c r="O3" s="6" t="s">
        <v>180</v>
      </c>
      <c r="P3" s="6">
        <v>0</v>
      </c>
    </row>
    <row r="4" spans="1:16" s="6" customFormat="1" x14ac:dyDescent="0.25">
      <c r="A4" s="6" t="s">
        <v>56</v>
      </c>
      <c r="B4" s="6" t="s">
        <v>181</v>
      </c>
      <c r="C4" s="6" t="s">
        <v>182</v>
      </c>
      <c r="D4" s="6" t="s">
        <v>183</v>
      </c>
      <c r="E4" s="6" t="s">
        <v>20</v>
      </c>
      <c r="F4" s="6">
        <v>283.709</v>
      </c>
      <c r="G4" s="6" t="s">
        <v>21</v>
      </c>
      <c r="H4" s="6">
        <v>1.65</v>
      </c>
      <c r="I4" s="6">
        <v>0</v>
      </c>
      <c r="J4" s="6">
        <v>0</v>
      </c>
      <c r="K4" s="6">
        <v>0.85</v>
      </c>
      <c r="L4" s="6">
        <v>468.12</v>
      </c>
      <c r="M4" s="6">
        <v>1.72</v>
      </c>
      <c r="N4" s="6">
        <v>487.98</v>
      </c>
      <c r="O4" s="6" t="s">
        <v>184</v>
      </c>
      <c r="P4" s="6">
        <v>0</v>
      </c>
    </row>
    <row r="5" spans="1:16" s="6" customFormat="1" x14ac:dyDescent="0.25">
      <c r="A5" s="6" t="s">
        <v>185</v>
      </c>
      <c r="B5" s="6" t="s">
        <v>173</v>
      </c>
      <c r="C5" s="6" t="s">
        <v>186</v>
      </c>
      <c r="D5" s="6" t="s">
        <v>187</v>
      </c>
      <c r="E5" s="6" t="s">
        <v>20</v>
      </c>
      <c r="F5" s="6">
        <v>58.527999999999899</v>
      </c>
      <c r="G5" s="6" t="s">
        <v>21</v>
      </c>
      <c r="H5" s="6">
        <v>1.73</v>
      </c>
      <c r="I5" s="6">
        <v>0</v>
      </c>
      <c r="J5" s="6">
        <v>0.01</v>
      </c>
      <c r="K5" s="6">
        <v>0.59</v>
      </c>
      <c r="L5" s="6">
        <v>101.25</v>
      </c>
      <c r="M5" s="6">
        <v>1.76</v>
      </c>
      <c r="N5" s="6">
        <v>103.01</v>
      </c>
      <c r="O5" s="6" t="s">
        <v>188</v>
      </c>
      <c r="P5" s="6">
        <v>0</v>
      </c>
    </row>
    <row r="6" spans="1:16" s="6" customFormat="1" x14ac:dyDescent="0.25">
      <c r="A6" s="6" t="s">
        <v>58</v>
      </c>
      <c r="B6" s="6" t="s">
        <v>173</v>
      </c>
      <c r="C6" s="6" t="s">
        <v>189</v>
      </c>
      <c r="D6" s="6" t="s">
        <v>190</v>
      </c>
      <c r="E6" s="6" t="s">
        <v>20</v>
      </c>
      <c r="F6" s="6">
        <v>31.148</v>
      </c>
      <c r="G6" s="6" t="s">
        <v>21</v>
      </c>
      <c r="H6" s="6">
        <v>1.73</v>
      </c>
      <c r="I6" s="6">
        <v>0</v>
      </c>
      <c r="J6" s="6">
        <v>0.01</v>
      </c>
      <c r="K6" s="6">
        <v>0.31</v>
      </c>
      <c r="L6" s="6">
        <v>53.89</v>
      </c>
      <c r="M6" s="6">
        <v>1.76</v>
      </c>
      <c r="N6" s="6">
        <v>54.82</v>
      </c>
      <c r="O6" s="6" t="s">
        <v>191</v>
      </c>
      <c r="P6" s="6">
        <v>0</v>
      </c>
    </row>
    <row r="7" spans="1:16" s="6" customFormat="1" x14ac:dyDescent="0.25">
      <c r="A7" s="6" t="s">
        <v>58</v>
      </c>
      <c r="B7" s="6" t="s">
        <v>173</v>
      </c>
      <c r="C7" s="6" t="s">
        <v>192</v>
      </c>
      <c r="D7" s="6" t="s">
        <v>193</v>
      </c>
      <c r="E7" s="6" t="s">
        <v>20</v>
      </c>
      <c r="F7" s="6">
        <v>43.369</v>
      </c>
      <c r="G7" s="6" t="s">
        <v>21</v>
      </c>
      <c r="H7" s="6">
        <v>1.73</v>
      </c>
      <c r="I7" s="6">
        <v>0</v>
      </c>
      <c r="J7" s="6">
        <v>0.01</v>
      </c>
      <c r="K7" s="6">
        <v>0.43</v>
      </c>
      <c r="L7" s="6">
        <v>75.03</v>
      </c>
      <c r="M7" s="6">
        <v>1.76</v>
      </c>
      <c r="N7" s="6">
        <v>76.33</v>
      </c>
      <c r="O7" s="6" t="s">
        <v>194</v>
      </c>
      <c r="P7" s="6">
        <v>0</v>
      </c>
    </row>
    <row r="8" spans="1:16" s="6" customFormat="1" x14ac:dyDescent="0.25">
      <c r="A8" s="6" t="s">
        <v>111</v>
      </c>
      <c r="B8" s="6" t="s">
        <v>173</v>
      </c>
      <c r="C8" s="6" t="s">
        <v>174</v>
      </c>
      <c r="D8" s="6" t="s">
        <v>175</v>
      </c>
      <c r="E8" s="6" t="s">
        <v>20</v>
      </c>
      <c r="F8" s="6">
        <v>47.503</v>
      </c>
      <c r="G8" s="6" t="s">
        <v>21</v>
      </c>
      <c r="H8" s="6">
        <v>1.73</v>
      </c>
      <c r="I8" s="6">
        <v>0</v>
      </c>
      <c r="J8" s="6">
        <v>0.01</v>
      </c>
      <c r="K8" s="6">
        <v>0.48</v>
      </c>
      <c r="L8" s="6">
        <v>82.18</v>
      </c>
      <c r="M8" s="6">
        <v>1.77</v>
      </c>
      <c r="N8" s="6">
        <v>84.08</v>
      </c>
      <c r="O8" s="6" t="s">
        <v>195</v>
      </c>
      <c r="P8" s="6">
        <v>0</v>
      </c>
    </row>
    <row r="9" spans="1:16" s="6" customFormat="1" x14ac:dyDescent="0.25">
      <c r="A9" s="6" t="s">
        <v>111</v>
      </c>
      <c r="B9" s="6" t="s">
        <v>173</v>
      </c>
      <c r="C9" s="6" t="s">
        <v>196</v>
      </c>
      <c r="D9" s="6" t="s">
        <v>197</v>
      </c>
      <c r="E9" s="6" t="s">
        <v>20</v>
      </c>
      <c r="F9" s="6">
        <v>141.587999999999</v>
      </c>
      <c r="G9" s="6" t="s">
        <v>21</v>
      </c>
      <c r="H9" s="6">
        <v>1.73</v>
      </c>
      <c r="I9" s="6">
        <v>0</v>
      </c>
      <c r="J9" s="6">
        <v>0.01</v>
      </c>
      <c r="K9" s="6">
        <v>1.42</v>
      </c>
      <c r="L9" s="6">
        <v>244.95</v>
      </c>
      <c r="M9" s="6">
        <v>1.77</v>
      </c>
      <c r="N9" s="6">
        <v>250.61</v>
      </c>
      <c r="O9" s="6" t="s">
        <v>198</v>
      </c>
      <c r="P9" s="6">
        <v>0</v>
      </c>
    </row>
    <row r="10" spans="1:16" s="6" customFormat="1" x14ac:dyDescent="0.25">
      <c r="A10" s="6" t="s">
        <v>111</v>
      </c>
      <c r="B10" s="6" t="s">
        <v>199</v>
      </c>
      <c r="C10" s="6" t="s">
        <v>186</v>
      </c>
      <c r="D10" s="6" t="s">
        <v>187</v>
      </c>
      <c r="E10" s="6" t="s">
        <v>20</v>
      </c>
      <c r="F10" s="6">
        <v>49.790999999999897</v>
      </c>
      <c r="G10" s="6" t="s">
        <v>21</v>
      </c>
      <c r="H10" s="6">
        <v>1.73</v>
      </c>
      <c r="I10" s="6">
        <v>0</v>
      </c>
      <c r="J10" s="6">
        <v>0.01</v>
      </c>
      <c r="K10" s="6">
        <v>0.5</v>
      </c>
      <c r="L10" s="6">
        <v>86.14</v>
      </c>
      <c r="M10" s="6">
        <v>1.77</v>
      </c>
      <c r="N10" s="6">
        <v>88.13</v>
      </c>
      <c r="O10" s="6" t="s">
        <v>200</v>
      </c>
      <c r="P10" s="6">
        <v>0</v>
      </c>
    </row>
    <row r="11" spans="1:16" s="6" customFormat="1" x14ac:dyDescent="0.25">
      <c r="A11" s="6" t="s">
        <v>111</v>
      </c>
      <c r="B11" s="6" t="s">
        <v>201</v>
      </c>
      <c r="C11" s="6" t="s">
        <v>202</v>
      </c>
      <c r="D11" s="6" t="s">
        <v>203</v>
      </c>
      <c r="E11" s="6" t="s">
        <v>20</v>
      </c>
      <c r="F11" s="6">
        <v>64.78</v>
      </c>
      <c r="G11" s="6" t="s">
        <v>21</v>
      </c>
      <c r="H11" s="6">
        <v>1.73</v>
      </c>
      <c r="I11" s="6">
        <v>0</v>
      </c>
      <c r="J11" s="6">
        <v>0.01</v>
      </c>
      <c r="K11" s="6">
        <v>0.65</v>
      </c>
      <c r="L11" s="6">
        <v>112.07</v>
      </c>
      <c r="M11" s="6">
        <v>1.77</v>
      </c>
      <c r="N11" s="6">
        <v>114.66</v>
      </c>
      <c r="O11" s="6" t="s">
        <v>204</v>
      </c>
      <c r="P11" s="6">
        <v>0</v>
      </c>
    </row>
    <row r="12" spans="1:16" s="6" customFormat="1" x14ac:dyDescent="0.25">
      <c r="A12" s="6" t="s">
        <v>66</v>
      </c>
      <c r="B12" s="6" t="s">
        <v>205</v>
      </c>
      <c r="C12" s="6" t="s">
        <v>202</v>
      </c>
      <c r="D12" s="6" t="s">
        <v>203</v>
      </c>
      <c r="E12" s="6" t="s">
        <v>20</v>
      </c>
      <c r="F12" s="6">
        <v>99.141000000000005</v>
      </c>
      <c r="G12" s="6" t="s">
        <v>21</v>
      </c>
      <c r="H12" s="6">
        <v>1.73</v>
      </c>
      <c r="I12" s="6">
        <v>0</v>
      </c>
      <c r="J12" s="6">
        <v>0.02</v>
      </c>
      <c r="K12" s="6">
        <v>1.98</v>
      </c>
      <c r="L12" s="6">
        <v>171.51</v>
      </c>
      <c r="M12" s="6">
        <v>1.77</v>
      </c>
      <c r="N12" s="6">
        <v>175.48</v>
      </c>
      <c r="O12" s="6" t="s">
        <v>206</v>
      </c>
      <c r="P12" s="6">
        <v>0</v>
      </c>
    </row>
    <row r="13" spans="1:16" s="6" customFormat="1" x14ac:dyDescent="0.25">
      <c r="A13" s="6" t="s">
        <v>66</v>
      </c>
      <c r="B13" s="6" t="s">
        <v>207</v>
      </c>
      <c r="C13" s="6" t="s">
        <v>178</v>
      </c>
      <c r="D13" s="6" t="s">
        <v>179</v>
      </c>
      <c r="E13" s="6" t="s">
        <v>20</v>
      </c>
      <c r="F13" s="6">
        <v>35.0399999999999</v>
      </c>
      <c r="G13" s="6" t="s">
        <v>21</v>
      </c>
      <c r="H13" s="6">
        <v>1.73</v>
      </c>
      <c r="I13" s="6">
        <v>0</v>
      </c>
      <c r="J13" s="6">
        <v>0.02</v>
      </c>
      <c r="K13" s="6">
        <v>0.7</v>
      </c>
      <c r="L13" s="6">
        <v>60.62</v>
      </c>
      <c r="M13" s="6">
        <v>1.77</v>
      </c>
      <c r="N13" s="6">
        <v>62.02</v>
      </c>
      <c r="O13" s="6" t="s">
        <v>208</v>
      </c>
      <c r="P13" s="6">
        <v>0</v>
      </c>
    </row>
    <row r="14" spans="1:16" s="6" customFormat="1" x14ac:dyDescent="0.25">
      <c r="A14" s="6" t="s">
        <v>66</v>
      </c>
      <c r="B14" s="6" t="s">
        <v>207</v>
      </c>
      <c r="C14" s="6" t="s">
        <v>178</v>
      </c>
      <c r="D14" s="6" t="s">
        <v>179</v>
      </c>
      <c r="E14" s="6" t="s">
        <v>209</v>
      </c>
      <c r="F14" s="6">
        <v>1</v>
      </c>
      <c r="G14" s="6" t="s">
        <v>210</v>
      </c>
      <c r="H14" s="6">
        <v>9.49</v>
      </c>
      <c r="I14" s="6">
        <v>0</v>
      </c>
      <c r="J14" s="6">
        <v>0</v>
      </c>
      <c r="L14" s="6">
        <v>9.49</v>
      </c>
      <c r="M14" s="6">
        <v>9.49</v>
      </c>
      <c r="N14" s="6">
        <v>9.49</v>
      </c>
      <c r="O14" s="6" t="s">
        <v>208</v>
      </c>
      <c r="P14" s="6">
        <v>0</v>
      </c>
    </row>
    <row r="15" spans="1:16" s="6" customFormat="1" x14ac:dyDescent="0.25">
      <c r="A15" s="6" t="s">
        <v>66</v>
      </c>
      <c r="B15" s="6" t="s">
        <v>173</v>
      </c>
      <c r="C15" s="6" t="s">
        <v>211</v>
      </c>
      <c r="D15" s="6" t="s">
        <v>212</v>
      </c>
      <c r="E15" s="6" t="s">
        <v>64</v>
      </c>
      <c r="F15" s="6">
        <v>35.430999999999898</v>
      </c>
      <c r="G15" s="6" t="s">
        <v>21</v>
      </c>
      <c r="H15" s="6">
        <v>1.84</v>
      </c>
      <c r="I15" s="6">
        <v>0</v>
      </c>
      <c r="J15" s="6">
        <v>0.09</v>
      </c>
      <c r="K15" s="6">
        <v>3.19</v>
      </c>
      <c r="L15" s="6">
        <v>65.19</v>
      </c>
      <c r="M15" s="6">
        <v>2.02</v>
      </c>
      <c r="N15" s="6">
        <v>71.569999999999993</v>
      </c>
      <c r="O15" s="6" t="s">
        <v>213</v>
      </c>
      <c r="P15" s="6">
        <v>0</v>
      </c>
    </row>
    <row r="16" spans="1:16" s="6" customFormat="1" x14ac:dyDescent="0.25">
      <c r="A16" s="6" t="s">
        <v>66</v>
      </c>
      <c r="B16" s="6" t="s">
        <v>173</v>
      </c>
      <c r="C16" s="6" t="s">
        <v>214</v>
      </c>
      <c r="D16" s="6" t="s">
        <v>215</v>
      </c>
      <c r="E16" s="6" t="s">
        <v>20</v>
      </c>
      <c r="F16" s="6">
        <v>49.198</v>
      </c>
      <c r="G16" s="6" t="s">
        <v>21</v>
      </c>
      <c r="H16" s="6">
        <v>1.73</v>
      </c>
      <c r="I16" s="6">
        <v>0</v>
      </c>
      <c r="J16" s="6">
        <v>0.02</v>
      </c>
      <c r="K16" s="6">
        <v>0.98</v>
      </c>
      <c r="L16" s="6">
        <v>85.11</v>
      </c>
      <c r="M16" s="6">
        <v>1.77</v>
      </c>
      <c r="N16" s="6">
        <v>87.08</v>
      </c>
      <c r="O16" s="6" t="s">
        <v>216</v>
      </c>
      <c r="P16" s="6">
        <v>900982</v>
      </c>
    </row>
    <row r="17" spans="1:16" s="6" customFormat="1" x14ac:dyDescent="0.25">
      <c r="A17" s="6" t="s">
        <v>66</v>
      </c>
      <c r="B17" s="6" t="s">
        <v>217</v>
      </c>
      <c r="C17" s="6" t="s">
        <v>186</v>
      </c>
      <c r="D17" s="6" t="s">
        <v>187</v>
      </c>
      <c r="E17" s="6" t="s">
        <v>20</v>
      </c>
      <c r="F17" s="6">
        <v>46.35</v>
      </c>
      <c r="G17" s="6" t="s">
        <v>21</v>
      </c>
      <c r="H17" s="6">
        <v>1.73</v>
      </c>
      <c r="I17" s="6">
        <v>0</v>
      </c>
      <c r="J17" s="6">
        <v>0.02</v>
      </c>
      <c r="K17" s="6">
        <v>0.93</v>
      </c>
      <c r="L17" s="6">
        <v>80.19</v>
      </c>
      <c r="M17" s="6">
        <v>1.77</v>
      </c>
      <c r="N17" s="6">
        <v>82.04</v>
      </c>
      <c r="O17" s="6" t="s">
        <v>218</v>
      </c>
      <c r="P17" s="6">
        <v>0</v>
      </c>
    </row>
    <row r="18" spans="1:16" s="6" customFormat="1" x14ac:dyDescent="0.25">
      <c r="A18" s="6" t="s">
        <v>136</v>
      </c>
      <c r="B18" s="6" t="s">
        <v>219</v>
      </c>
      <c r="C18" s="6" t="s">
        <v>220</v>
      </c>
      <c r="D18" s="6" t="s">
        <v>221</v>
      </c>
      <c r="E18" s="6" t="s">
        <v>20</v>
      </c>
      <c r="F18" s="6">
        <v>75.150999999999897</v>
      </c>
      <c r="G18" s="6" t="s">
        <v>21</v>
      </c>
      <c r="H18" s="6">
        <v>1.76</v>
      </c>
      <c r="I18" s="6">
        <v>0</v>
      </c>
      <c r="J18" s="6">
        <v>0.02</v>
      </c>
      <c r="K18" s="6">
        <v>1.5</v>
      </c>
      <c r="L18" s="6">
        <v>132.27000000000001</v>
      </c>
      <c r="M18" s="6">
        <v>1.79</v>
      </c>
      <c r="N18" s="6">
        <v>134.52000000000001</v>
      </c>
      <c r="O18" s="6" t="s">
        <v>157</v>
      </c>
      <c r="P18" s="6">
        <v>0</v>
      </c>
    </row>
    <row r="19" spans="1:16" s="6" customFormat="1" x14ac:dyDescent="0.25">
      <c r="A19" s="6" t="s">
        <v>136</v>
      </c>
      <c r="B19" s="6" t="s">
        <v>222</v>
      </c>
      <c r="C19" s="6" t="s">
        <v>182</v>
      </c>
      <c r="D19" s="6" t="s">
        <v>183</v>
      </c>
      <c r="E19" s="6" t="s">
        <v>20</v>
      </c>
      <c r="F19" s="6">
        <v>341.54199999999901</v>
      </c>
      <c r="G19" s="6" t="s">
        <v>21</v>
      </c>
      <c r="H19" s="6">
        <v>1.76</v>
      </c>
      <c r="I19" s="6">
        <v>0</v>
      </c>
      <c r="J19" s="6">
        <v>0.02</v>
      </c>
      <c r="K19" s="6">
        <v>6.83</v>
      </c>
      <c r="L19" s="6">
        <v>601.11</v>
      </c>
      <c r="M19" s="6">
        <v>1.79</v>
      </c>
      <c r="N19" s="6">
        <v>611.36</v>
      </c>
      <c r="O19" s="6" t="s">
        <v>223</v>
      </c>
      <c r="P19" s="6">
        <v>0</v>
      </c>
    </row>
    <row r="20" spans="1:16" s="6" customFormat="1" x14ac:dyDescent="0.25">
      <c r="A20" s="6" t="s">
        <v>114</v>
      </c>
      <c r="B20" s="6" t="s">
        <v>207</v>
      </c>
      <c r="C20" s="6" t="s">
        <v>178</v>
      </c>
      <c r="D20" s="6" t="s">
        <v>179</v>
      </c>
      <c r="E20" s="6" t="s">
        <v>20</v>
      </c>
      <c r="F20" s="6">
        <v>25.039000000000001</v>
      </c>
      <c r="G20" s="6" t="s">
        <v>21</v>
      </c>
      <c r="H20" s="6">
        <v>1.76</v>
      </c>
      <c r="I20" s="6">
        <v>0</v>
      </c>
      <c r="J20" s="6">
        <v>0.02</v>
      </c>
      <c r="K20" s="6">
        <v>0.5</v>
      </c>
      <c r="L20" s="6">
        <v>44.07</v>
      </c>
      <c r="M20" s="6">
        <v>1.8</v>
      </c>
      <c r="N20" s="6">
        <v>45.07</v>
      </c>
      <c r="O20" s="6" t="s">
        <v>224</v>
      </c>
      <c r="P20" s="6">
        <v>0</v>
      </c>
    </row>
    <row r="21" spans="1:16" s="6" customFormat="1" x14ac:dyDescent="0.25">
      <c r="A21" s="6" t="s">
        <v>114</v>
      </c>
      <c r="B21" s="6" t="s">
        <v>173</v>
      </c>
      <c r="C21" s="6" t="s">
        <v>211</v>
      </c>
      <c r="D21" s="6" t="s">
        <v>212</v>
      </c>
      <c r="E21" s="6" t="s">
        <v>20</v>
      </c>
      <c r="F21" s="6">
        <v>60</v>
      </c>
      <c r="G21" s="6" t="s">
        <v>21</v>
      </c>
      <c r="H21" s="6">
        <v>1.76</v>
      </c>
      <c r="I21" s="6">
        <v>0</v>
      </c>
      <c r="J21" s="6">
        <v>0.02</v>
      </c>
      <c r="K21" s="6">
        <v>1.2</v>
      </c>
      <c r="L21" s="6">
        <v>105.6</v>
      </c>
      <c r="M21" s="6">
        <v>1.8</v>
      </c>
      <c r="N21" s="6">
        <v>108</v>
      </c>
      <c r="O21" s="6" t="s">
        <v>225</v>
      </c>
      <c r="P21" s="6">
        <v>0</v>
      </c>
    </row>
    <row r="22" spans="1:16" s="6" customFormat="1" x14ac:dyDescent="0.25">
      <c r="A22" s="6" t="s">
        <v>114</v>
      </c>
      <c r="B22" s="6" t="s">
        <v>201</v>
      </c>
      <c r="C22" s="6" t="s">
        <v>226</v>
      </c>
      <c r="D22" s="6" t="s">
        <v>227</v>
      </c>
      <c r="E22" s="6" t="s">
        <v>20</v>
      </c>
      <c r="F22" s="6">
        <v>83.260999999999896</v>
      </c>
      <c r="G22" s="6" t="s">
        <v>21</v>
      </c>
      <c r="H22" s="6">
        <v>1.76</v>
      </c>
      <c r="I22" s="6">
        <v>0</v>
      </c>
      <c r="J22" s="6">
        <v>0.02</v>
      </c>
      <c r="K22" s="6">
        <v>1.67</v>
      </c>
      <c r="L22" s="6">
        <v>146.54</v>
      </c>
      <c r="M22" s="6">
        <v>1.8</v>
      </c>
      <c r="N22" s="6">
        <v>149.87</v>
      </c>
      <c r="O22" s="6" t="s">
        <v>228</v>
      </c>
      <c r="P22" s="6">
        <v>0</v>
      </c>
    </row>
    <row r="23" spans="1:16" s="6" customFormat="1" x14ac:dyDescent="0.25">
      <c r="A23" s="6" t="s">
        <v>70</v>
      </c>
      <c r="B23" s="6" t="s">
        <v>173</v>
      </c>
      <c r="C23" s="6" t="s">
        <v>229</v>
      </c>
      <c r="D23" s="6" t="s">
        <v>230</v>
      </c>
      <c r="E23" s="6" t="s">
        <v>20</v>
      </c>
      <c r="F23" s="6">
        <v>48.878</v>
      </c>
      <c r="G23" s="6" t="s">
        <v>21</v>
      </c>
      <c r="H23" s="6">
        <v>1.76</v>
      </c>
      <c r="I23" s="6">
        <v>0</v>
      </c>
      <c r="J23" s="6">
        <v>0.02</v>
      </c>
      <c r="K23" s="6">
        <v>0.98</v>
      </c>
      <c r="L23" s="6">
        <v>86.03</v>
      </c>
      <c r="M23" s="6">
        <v>1.81</v>
      </c>
      <c r="N23" s="6">
        <v>88.47</v>
      </c>
      <c r="O23" s="6" t="s">
        <v>231</v>
      </c>
      <c r="P23" s="6">
        <v>0</v>
      </c>
    </row>
    <row r="24" spans="1:16" s="6" customFormat="1" x14ac:dyDescent="0.25">
      <c r="A24" s="6" t="s">
        <v>141</v>
      </c>
      <c r="B24" s="6" t="s">
        <v>173</v>
      </c>
      <c r="C24" s="6" t="s">
        <v>211</v>
      </c>
      <c r="D24" s="6" t="s">
        <v>212</v>
      </c>
      <c r="E24" s="6" t="s">
        <v>64</v>
      </c>
      <c r="F24" s="6">
        <v>43.649999999999899</v>
      </c>
      <c r="G24" s="6" t="s">
        <v>21</v>
      </c>
      <c r="H24" s="6">
        <v>1.87</v>
      </c>
      <c r="I24" s="6">
        <v>0</v>
      </c>
      <c r="J24" s="6">
        <v>0.09</v>
      </c>
      <c r="K24" s="6">
        <v>3.93</v>
      </c>
      <c r="L24" s="6">
        <v>81.63</v>
      </c>
      <c r="M24" s="6">
        <v>2.06</v>
      </c>
      <c r="N24" s="6">
        <v>89.92</v>
      </c>
      <c r="O24" s="6" t="s">
        <v>232</v>
      </c>
      <c r="P24" s="6">
        <v>0</v>
      </c>
    </row>
    <row r="25" spans="1:16" s="6" customFormat="1" x14ac:dyDescent="0.25">
      <c r="A25" s="6" t="s">
        <v>141</v>
      </c>
      <c r="B25" s="6" t="s">
        <v>201</v>
      </c>
      <c r="C25" s="6" t="s">
        <v>186</v>
      </c>
      <c r="D25" s="6" t="s">
        <v>187</v>
      </c>
      <c r="E25" s="6" t="s">
        <v>20</v>
      </c>
      <c r="F25" s="6">
        <v>45.862000000000002</v>
      </c>
      <c r="G25" s="6" t="s">
        <v>21</v>
      </c>
      <c r="H25" s="6">
        <v>1.75</v>
      </c>
      <c r="I25" s="6">
        <v>0</v>
      </c>
      <c r="J25" s="6">
        <v>0.02</v>
      </c>
      <c r="K25" s="6">
        <v>0.92</v>
      </c>
      <c r="L25" s="6">
        <v>80.260000000000005</v>
      </c>
      <c r="M25" s="6">
        <v>1.81</v>
      </c>
      <c r="N25" s="6">
        <v>83.01</v>
      </c>
      <c r="O25" s="6" t="s">
        <v>233</v>
      </c>
      <c r="P25" s="6">
        <v>0</v>
      </c>
    </row>
    <row r="26" spans="1:16" s="6" customFormat="1" x14ac:dyDescent="0.25">
      <c r="A26" s="6" t="s">
        <v>141</v>
      </c>
      <c r="B26" s="6" t="s">
        <v>201</v>
      </c>
      <c r="C26" s="6" t="s">
        <v>234</v>
      </c>
      <c r="D26" s="6" t="s">
        <v>235</v>
      </c>
      <c r="E26" s="6" t="s">
        <v>20</v>
      </c>
      <c r="F26" s="6">
        <v>80.381</v>
      </c>
      <c r="G26" s="6" t="s">
        <v>21</v>
      </c>
      <c r="H26" s="6">
        <v>1.75</v>
      </c>
      <c r="I26" s="6">
        <v>0</v>
      </c>
      <c r="J26" s="6">
        <v>0.02</v>
      </c>
      <c r="K26" s="6">
        <v>1.61</v>
      </c>
      <c r="L26" s="6">
        <v>140.66999999999999</v>
      </c>
      <c r="M26" s="6">
        <v>1.81</v>
      </c>
      <c r="N26" s="6">
        <v>145.49</v>
      </c>
      <c r="O26" s="6" t="s">
        <v>236</v>
      </c>
      <c r="P26" s="6">
        <v>0</v>
      </c>
    </row>
    <row r="27" spans="1:16" s="6" customFormat="1" x14ac:dyDescent="0.25">
      <c r="A27" s="6" t="s">
        <v>72</v>
      </c>
      <c r="B27" s="6" t="s">
        <v>237</v>
      </c>
      <c r="C27" s="6" t="s">
        <v>211</v>
      </c>
      <c r="D27" s="6" t="s">
        <v>212</v>
      </c>
      <c r="E27" s="6" t="s">
        <v>20</v>
      </c>
      <c r="F27" s="6">
        <v>27.158999999999899</v>
      </c>
      <c r="G27" s="6" t="s">
        <v>21</v>
      </c>
      <c r="H27" s="6">
        <v>1.73</v>
      </c>
      <c r="I27" s="6">
        <v>0</v>
      </c>
      <c r="J27" s="6">
        <v>0.02</v>
      </c>
      <c r="K27" s="6">
        <v>0.54</v>
      </c>
      <c r="L27" s="6">
        <v>46.99</v>
      </c>
      <c r="M27" s="6">
        <v>1.82</v>
      </c>
      <c r="N27" s="6">
        <v>49.43</v>
      </c>
      <c r="O27" s="6" t="s">
        <v>238</v>
      </c>
      <c r="P27" s="6">
        <v>0</v>
      </c>
    </row>
    <row r="28" spans="1:16" s="6" customFormat="1" x14ac:dyDescent="0.25">
      <c r="A28" s="6" t="s">
        <v>72</v>
      </c>
      <c r="B28" s="6" t="s">
        <v>173</v>
      </c>
      <c r="C28" s="6" t="s">
        <v>229</v>
      </c>
      <c r="D28" s="6" t="s">
        <v>230</v>
      </c>
      <c r="E28" s="6" t="s">
        <v>20</v>
      </c>
      <c r="F28" s="6">
        <v>53</v>
      </c>
      <c r="G28" s="6" t="s">
        <v>21</v>
      </c>
      <c r="H28" s="6">
        <v>1.73</v>
      </c>
      <c r="I28" s="6">
        <v>0</v>
      </c>
      <c r="J28" s="6">
        <v>0.02</v>
      </c>
      <c r="K28" s="6">
        <v>1.06</v>
      </c>
      <c r="L28" s="6">
        <v>91.69</v>
      </c>
      <c r="M28" s="6">
        <v>1.82</v>
      </c>
      <c r="N28" s="6">
        <v>96.46</v>
      </c>
      <c r="O28" s="6" t="s">
        <v>239</v>
      </c>
      <c r="P28" s="6">
        <v>0</v>
      </c>
    </row>
    <row r="29" spans="1:16" s="6" customFormat="1" x14ac:dyDescent="0.25">
      <c r="A29" s="6" t="s">
        <v>72</v>
      </c>
      <c r="B29" s="6" t="s">
        <v>173</v>
      </c>
      <c r="C29" s="6" t="s">
        <v>226</v>
      </c>
      <c r="D29" s="6" t="s">
        <v>227</v>
      </c>
      <c r="E29" s="6" t="s">
        <v>20</v>
      </c>
      <c r="F29" s="6">
        <v>82.599000000000004</v>
      </c>
      <c r="G29" s="6" t="s">
        <v>21</v>
      </c>
      <c r="H29" s="6">
        <v>1.73</v>
      </c>
      <c r="I29" s="6">
        <v>0</v>
      </c>
      <c r="J29" s="6">
        <v>0.02</v>
      </c>
      <c r="K29" s="6">
        <v>1.65</v>
      </c>
      <c r="L29" s="6">
        <v>142.9</v>
      </c>
      <c r="M29" s="6">
        <v>1.82</v>
      </c>
      <c r="N29" s="6">
        <v>150.33000000000001</v>
      </c>
      <c r="O29" s="6" t="s">
        <v>240</v>
      </c>
      <c r="P29" s="6">
        <v>0</v>
      </c>
    </row>
    <row r="30" spans="1:16" s="6" customFormat="1" x14ac:dyDescent="0.25">
      <c r="A30" s="6" t="s">
        <v>77</v>
      </c>
      <c r="B30" s="6" t="s">
        <v>205</v>
      </c>
      <c r="C30" s="6" t="s">
        <v>234</v>
      </c>
      <c r="D30" s="6" t="s">
        <v>235</v>
      </c>
      <c r="E30" s="6" t="s">
        <v>20</v>
      </c>
      <c r="F30" s="6">
        <v>85.798000000000002</v>
      </c>
      <c r="G30" s="6" t="s">
        <v>21</v>
      </c>
      <c r="H30" s="6">
        <v>1.73</v>
      </c>
      <c r="I30" s="6">
        <v>0</v>
      </c>
      <c r="J30" s="6">
        <v>0.02</v>
      </c>
      <c r="K30" s="6">
        <v>1.72</v>
      </c>
      <c r="L30" s="6">
        <v>148.43</v>
      </c>
      <c r="M30" s="6">
        <v>1.83</v>
      </c>
      <c r="N30" s="6">
        <v>157.01</v>
      </c>
      <c r="O30" s="6" t="s">
        <v>241</v>
      </c>
      <c r="P30" s="6">
        <v>0</v>
      </c>
    </row>
    <row r="31" spans="1:16" s="6" customFormat="1" x14ac:dyDescent="0.25">
      <c r="A31" s="6" t="s">
        <v>77</v>
      </c>
      <c r="B31" s="6" t="s">
        <v>242</v>
      </c>
      <c r="C31" s="6" t="s">
        <v>192</v>
      </c>
      <c r="D31" s="6" t="s">
        <v>193</v>
      </c>
      <c r="E31" s="6" t="s">
        <v>20</v>
      </c>
      <c r="F31" s="6">
        <v>46.209000000000003</v>
      </c>
      <c r="G31" s="6" t="s">
        <v>21</v>
      </c>
      <c r="H31" s="6">
        <v>1.73</v>
      </c>
      <c r="I31" s="6">
        <v>0</v>
      </c>
      <c r="J31" s="6">
        <v>0.02</v>
      </c>
      <c r="K31" s="6">
        <v>0.92</v>
      </c>
      <c r="L31" s="6">
        <v>79.94</v>
      </c>
      <c r="M31" s="6">
        <v>1.82</v>
      </c>
      <c r="N31" s="6">
        <v>84.1</v>
      </c>
      <c r="O31" s="6" t="s">
        <v>204</v>
      </c>
      <c r="P31" s="6">
        <v>0</v>
      </c>
    </row>
    <row r="32" spans="1:16" s="6" customFormat="1" x14ac:dyDescent="0.25">
      <c r="A32" s="6" t="s">
        <v>243</v>
      </c>
      <c r="B32" s="6" t="s">
        <v>207</v>
      </c>
      <c r="C32" s="6" t="s">
        <v>220</v>
      </c>
      <c r="D32" s="6" t="s">
        <v>221</v>
      </c>
      <c r="E32" s="6" t="s">
        <v>20</v>
      </c>
      <c r="F32" s="6">
        <v>74.742000000000004</v>
      </c>
      <c r="G32" s="6" t="s">
        <v>21</v>
      </c>
      <c r="H32" s="6">
        <v>1.72</v>
      </c>
      <c r="I32" s="6">
        <v>0</v>
      </c>
      <c r="J32" s="6">
        <v>0.02</v>
      </c>
      <c r="K32" s="6">
        <v>1.49</v>
      </c>
      <c r="L32" s="6">
        <v>128.56</v>
      </c>
      <c r="M32" s="6">
        <v>1.82</v>
      </c>
      <c r="N32" s="6">
        <v>136.03</v>
      </c>
      <c r="O32" s="6" t="s">
        <v>244</v>
      </c>
      <c r="P32" s="6">
        <v>0</v>
      </c>
    </row>
    <row r="33" spans="1:16" s="6" customFormat="1" x14ac:dyDescent="0.25">
      <c r="A33" s="6" t="s">
        <v>243</v>
      </c>
      <c r="B33" s="6" t="s">
        <v>173</v>
      </c>
      <c r="C33" s="6" t="s">
        <v>174</v>
      </c>
      <c r="D33" s="6" t="s">
        <v>175</v>
      </c>
      <c r="E33" s="6" t="s">
        <v>20</v>
      </c>
      <c r="F33" s="6">
        <v>51.070999999999898</v>
      </c>
      <c r="G33" s="6" t="s">
        <v>21</v>
      </c>
      <c r="H33" s="6">
        <v>1.72</v>
      </c>
      <c r="I33" s="6">
        <v>0</v>
      </c>
      <c r="J33" s="6">
        <v>0.02</v>
      </c>
      <c r="K33" s="6">
        <v>1.02</v>
      </c>
      <c r="L33" s="6">
        <v>87.84</v>
      </c>
      <c r="M33" s="6">
        <v>1.82</v>
      </c>
      <c r="N33" s="6">
        <v>92.95</v>
      </c>
      <c r="O33" s="6" t="s">
        <v>245</v>
      </c>
      <c r="P33" s="6">
        <v>0</v>
      </c>
    </row>
    <row r="34" spans="1:16" s="6" customFormat="1" x14ac:dyDescent="0.25">
      <c r="A34" s="6" t="s">
        <v>243</v>
      </c>
      <c r="B34" s="6" t="s">
        <v>173</v>
      </c>
      <c r="C34" s="6" t="s">
        <v>174</v>
      </c>
      <c r="D34" s="6" t="s">
        <v>175</v>
      </c>
      <c r="E34" s="6" t="s">
        <v>246</v>
      </c>
      <c r="F34" s="6">
        <v>1</v>
      </c>
      <c r="G34" s="6" t="s">
        <v>210</v>
      </c>
      <c r="H34" s="6">
        <v>26.83</v>
      </c>
      <c r="I34" s="6">
        <v>0</v>
      </c>
      <c r="J34" s="6">
        <v>0</v>
      </c>
      <c r="L34" s="6">
        <v>26.83</v>
      </c>
      <c r="M34" s="6">
        <v>26.83</v>
      </c>
      <c r="N34" s="6">
        <v>26.83</v>
      </c>
      <c r="O34" s="6" t="s">
        <v>245</v>
      </c>
      <c r="P34" s="6">
        <v>0</v>
      </c>
    </row>
    <row r="35" spans="1:16" s="6" customFormat="1" x14ac:dyDescent="0.25">
      <c r="A35" s="6" t="s">
        <v>243</v>
      </c>
      <c r="B35" s="6" t="s">
        <v>173</v>
      </c>
      <c r="C35" s="6" t="s">
        <v>247</v>
      </c>
      <c r="D35" s="6" t="s">
        <v>248</v>
      </c>
      <c r="E35" s="6" t="s">
        <v>20</v>
      </c>
      <c r="F35" s="6">
        <v>54</v>
      </c>
      <c r="G35" s="6" t="s">
        <v>21</v>
      </c>
      <c r="H35" s="6">
        <v>1.72</v>
      </c>
      <c r="I35" s="6">
        <v>0</v>
      </c>
      <c r="J35" s="6">
        <v>0.02</v>
      </c>
      <c r="K35" s="6">
        <v>1.08</v>
      </c>
      <c r="L35" s="6">
        <v>92.88</v>
      </c>
      <c r="M35" s="6">
        <v>1.82</v>
      </c>
      <c r="N35" s="6">
        <v>98.28</v>
      </c>
      <c r="O35" s="6" t="s">
        <v>249</v>
      </c>
      <c r="P35" s="6">
        <v>0</v>
      </c>
    </row>
    <row r="36" spans="1:16" s="6" customFormat="1" x14ac:dyDescent="0.25">
      <c r="A36" s="6" t="s">
        <v>145</v>
      </c>
      <c r="B36" s="6" t="s">
        <v>173</v>
      </c>
      <c r="C36" s="6" t="s">
        <v>189</v>
      </c>
      <c r="D36" s="6" t="s">
        <v>190</v>
      </c>
      <c r="E36" s="6" t="s">
        <v>20</v>
      </c>
      <c r="F36" s="6">
        <v>43.962000000000003</v>
      </c>
      <c r="G36" s="6" t="s">
        <v>21</v>
      </c>
      <c r="H36" s="6">
        <v>1.72</v>
      </c>
      <c r="I36" s="6">
        <v>0</v>
      </c>
      <c r="J36" s="6">
        <v>0.02</v>
      </c>
      <c r="K36" s="6">
        <v>0.88</v>
      </c>
      <c r="L36" s="6">
        <v>75.61</v>
      </c>
      <c r="M36" s="6">
        <v>1.82</v>
      </c>
      <c r="N36" s="6">
        <v>80.010000000000005</v>
      </c>
      <c r="O36" s="6" t="s">
        <v>57</v>
      </c>
      <c r="P36" s="6">
        <v>0</v>
      </c>
    </row>
    <row r="37" spans="1:16" s="6" customFormat="1" x14ac:dyDescent="0.25">
      <c r="A37" s="6" t="s">
        <v>82</v>
      </c>
      <c r="B37" s="6" t="s">
        <v>250</v>
      </c>
      <c r="C37" s="6" t="s">
        <v>226</v>
      </c>
      <c r="D37" s="6" t="s">
        <v>227</v>
      </c>
      <c r="E37" s="6" t="s">
        <v>20</v>
      </c>
      <c r="F37" s="6">
        <v>81.412000000000006</v>
      </c>
      <c r="G37" s="6" t="s">
        <v>21</v>
      </c>
      <c r="H37" s="6">
        <v>1.7</v>
      </c>
      <c r="I37" s="6">
        <v>0</v>
      </c>
      <c r="J37" s="6">
        <v>0.02</v>
      </c>
      <c r="K37" s="6">
        <v>1.63</v>
      </c>
      <c r="L37" s="6">
        <v>138.4</v>
      </c>
      <c r="M37" s="6">
        <v>1.82</v>
      </c>
      <c r="N37" s="6">
        <v>148.16999999999999</v>
      </c>
      <c r="O37" s="6" t="s">
        <v>251</v>
      </c>
      <c r="P37" s="6">
        <v>0</v>
      </c>
    </row>
    <row r="38" spans="1:16" s="6" customFormat="1" x14ac:dyDescent="0.25">
      <c r="A38" s="6" t="s">
        <v>82</v>
      </c>
      <c r="B38" s="6" t="s">
        <v>173</v>
      </c>
      <c r="C38" s="6" t="s">
        <v>220</v>
      </c>
      <c r="D38" s="6" t="s">
        <v>221</v>
      </c>
      <c r="E38" s="6" t="s">
        <v>252</v>
      </c>
      <c r="F38" s="6">
        <v>2</v>
      </c>
      <c r="G38" s="6" t="s">
        <v>210</v>
      </c>
      <c r="H38" s="6">
        <v>6.18</v>
      </c>
      <c r="I38" s="6">
        <v>0</v>
      </c>
      <c r="J38" s="6">
        <v>0</v>
      </c>
      <c r="L38" s="6">
        <v>12.36</v>
      </c>
      <c r="M38" s="6">
        <v>6.18</v>
      </c>
      <c r="N38" s="6">
        <v>12.36</v>
      </c>
      <c r="O38" s="6" t="s">
        <v>253</v>
      </c>
      <c r="P38" s="6">
        <v>0</v>
      </c>
    </row>
    <row r="39" spans="1:16" s="6" customFormat="1" x14ac:dyDescent="0.25">
      <c r="A39" s="6" t="s">
        <v>82</v>
      </c>
      <c r="B39" s="6" t="s">
        <v>254</v>
      </c>
      <c r="C39" s="6" t="s">
        <v>186</v>
      </c>
      <c r="D39" s="6" t="s">
        <v>187</v>
      </c>
      <c r="E39" s="6" t="s">
        <v>246</v>
      </c>
      <c r="F39" s="6">
        <v>1</v>
      </c>
      <c r="G39" s="6" t="s">
        <v>210</v>
      </c>
      <c r="H39" s="6">
        <v>26.83</v>
      </c>
      <c r="I39" s="6">
        <v>0</v>
      </c>
      <c r="J39" s="6">
        <v>0</v>
      </c>
      <c r="L39" s="6">
        <v>26.83</v>
      </c>
      <c r="M39" s="6">
        <v>26.83</v>
      </c>
      <c r="N39" s="6">
        <v>26.83</v>
      </c>
      <c r="O39" s="6" t="s">
        <v>255</v>
      </c>
      <c r="P39" s="6">
        <v>0</v>
      </c>
    </row>
    <row r="40" spans="1:16" s="6" customFormat="1" x14ac:dyDescent="0.25">
      <c r="A40" s="6" t="s">
        <v>151</v>
      </c>
      <c r="B40" s="6" t="s">
        <v>205</v>
      </c>
      <c r="C40" s="6" t="s">
        <v>182</v>
      </c>
      <c r="D40" s="6" t="s">
        <v>183</v>
      </c>
      <c r="E40" s="6" t="s">
        <v>20</v>
      </c>
      <c r="F40" s="6">
        <v>329.97800000000001</v>
      </c>
      <c r="G40" s="6" t="s">
        <v>21</v>
      </c>
      <c r="H40" s="6">
        <v>1.67</v>
      </c>
      <c r="I40" s="6">
        <v>0</v>
      </c>
      <c r="J40" s="6">
        <v>0.02</v>
      </c>
      <c r="K40" s="6">
        <v>6.6</v>
      </c>
      <c r="L40" s="6">
        <v>551.05999999999995</v>
      </c>
      <c r="M40" s="6">
        <v>1.82</v>
      </c>
      <c r="N40" s="6">
        <v>600.55999999999995</v>
      </c>
      <c r="O40" s="6" t="s">
        <v>256</v>
      </c>
      <c r="P40" s="6">
        <v>0</v>
      </c>
    </row>
    <row r="41" spans="1:16" s="6" customFormat="1" x14ac:dyDescent="0.25">
      <c r="A41" s="6" t="s">
        <v>151</v>
      </c>
      <c r="B41" s="6" t="s">
        <v>205</v>
      </c>
      <c r="C41" s="6" t="s">
        <v>182</v>
      </c>
      <c r="D41" s="6" t="s">
        <v>183</v>
      </c>
      <c r="E41" s="6" t="s">
        <v>257</v>
      </c>
      <c r="F41" s="6">
        <v>44.2989999999999</v>
      </c>
      <c r="G41" s="6" t="s">
        <v>21</v>
      </c>
      <c r="H41" s="6">
        <v>1.27</v>
      </c>
      <c r="I41" s="6">
        <v>0</v>
      </c>
      <c r="J41" s="6">
        <v>0</v>
      </c>
      <c r="L41" s="6">
        <v>56.26</v>
      </c>
      <c r="M41" s="6">
        <v>1.27</v>
      </c>
      <c r="N41" s="6">
        <v>56.26</v>
      </c>
      <c r="O41" s="6" t="s">
        <v>256</v>
      </c>
      <c r="P41" s="6">
        <v>0</v>
      </c>
    </row>
    <row r="42" spans="1:16" s="6" customFormat="1" x14ac:dyDescent="0.25">
      <c r="A42" s="6" t="s">
        <v>151</v>
      </c>
      <c r="B42" s="6" t="s">
        <v>258</v>
      </c>
      <c r="C42" s="6" t="s">
        <v>211</v>
      </c>
      <c r="D42" s="6" t="s">
        <v>212</v>
      </c>
      <c r="E42" s="6" t="s">
        <v>20</v>
      </c>
      <c r="F42" s="6">
        <v>40</v>
      </c>
      <c r="G42" s="6" t="s">
        <v>21</v>
      </c>
      <c r="H42" s="6">
        <v>1.67</v>
      </c>
      <c r="I42" s="6">
        <v>0</v>
      </c>
      <c r="J42" s="6">
        <v>0.02</v>
      </c>
      <c r="K42" s="6">
        <v>0.8</v>
      </c>
      <c r="L42" s="6">
        <v>66.8</v>
      </c>
      <c r="M42" s="6">
        <v>1.79</v>
      </c>
      <c r="N42" s="6">
        <v>71.599999999999994</v>
      </c>
      <c r="O42" s="6" t="s">
        <v>259</v>
      </c>
      <c r="P42" s="6">
        <v>0</v>
      </c>
    </row>
    <row r="43" spans="1:16" s="6" customFormat="1" x14ac:dyDescent="0.25">
      <c r="A43" s="6" t="s">
        <v>151</v>
      </c>
      <c r="B43" s="6" t="s">
        <v>207</v>
      </c>
      <c r="C43" s="6" t="s">
        <v>178</v>
      </c>
      <c r="D43" s="6" t="s">
        <v>179</v>
      </c>
      <c r="E43" s="6" t="s">
        <v>20</v>
      </c>
      <c r="F43" s="6">
        <v>17.777999999999899</v>
      </c>
      <c r="G43" s="6" t="s">
        <v>21</v>
      </c>
      <c r="H43" s="6">
        <v>1.67</v>
      </c>
      <c r="I43" s="6">
        <v>0</v>
      </c>
      <c r="J43" s="6">
        <v>0.02</v>
      </c>
      <c r="K43" s="6">
        <v>0.36</v>
      </c>
      <c r="L43" s="6">
        <v>29.69</v>
      </c>
      <c r="M43" s="6">
        <v>1.8</v>
      </c>
      <c r="N43" s="6">
        <v>32</v>
      </c>
      <c r="O43" s="6" t="s">
        <v>260</v>
      </c>
      <c r="P43" s="6">
        <v>0</v>
      </c>
    </row>
    <row r="44" spans="1:16" s="6" customFormat="1" x14ac:dyDescent="0.25">
      <c r="A44" s="6" t="s">
        <v>151</v>
      </c>
      <c r="B44" s="6" t="s">
        <v>207</v>
      </c>
      <c r="C44" s="6" t="s">
        <v>178</v>
      </c>
      <c r="D44" s="6" t="s">
        <v>179</v>
      </c>
      <c r="E44" s="6" t="s">
        <v>261</v>
      </c>
      <c r="F44" s="6">
        <v>1</v>
      </c>
      <c r="G44" s="6" t="s">
        <v>210</v>
      </c>
      <c r="H44" s="6">
        <v>13.28</v>
      </c>
      <c r="I44" s="6">
        <v>0</v>
      </c>
      <c r="J44" s="6">
        <v>0</v>
      </c>
      <c r="L44" s="6">
        <v>13.28</v>
      </c>
      <c r="M44" s="6">
        <v>13.28</v>
      </c>
      <c r="N44" s="6">
        <v>13.28</v>
      </c>
      <c r="O44" s="6" t="s">
        <v>260</v>
      </c>
      <c r="P44" s="6">
        <v>0</v>
      </c>
    </row>
    <row r="45" spans="1:16" s="6" customFormat="1" x14ac:dyDescent="0.25">
      <c r="A45" s="6" t="s">
        <v>23</v>
      </c>
      <c r="B45" s="6" t="s">
        <v>84</v>
      </c>
      <c r="C45" s="6" t="s">
        <v>220</v>
      </c>
      <c r="D45" s="6" t="s">
        <v>221</v>
      </c>
      <c r="E45" s="6" t="s">
        <v>20</v>
      </c>
      <c r="F45" s="6">
        <v>51.098999999999897</v>
      </c>
      <c r="G45" s="6" t="s">
        <v>21</v>
      </c>
      <c r="H45" s="6">
        <v>1.67</v>
      </c>
      <c r="I45" s="6">
        <v>0</v>
      </c>
      <c r="J45" s="6">
        <v>0.02</v>
      </c>
      <c r="K45" s="6">
        <v>1.02</v>
      </c>
      <c r="L45" s="6">
        <v>85.34</v>
      </c>
      <c r="M45" s="6">
        <v>1.82</v>
      </c>
      <c r="N45" s="6">
        <v>93</v>
      </c>
      <c r="O45" s="6" t="s">
        <v>262</v>
      </c>
      <c r="P45" s="6">
        <v>0</v>
      </c>
    </row>
    <row r="46" spans="1:16" s="6" customFormat="1" x14ac:dyDescent="0.25">
      <c r="A46" s="6" t="s">
        <v>23</v>
      </c>
      <c r="B46" s="6" t="s">
        <v>84</v>
      </c>
      <c r="C46" s="6" t="s">
        <v>263</v>
      </c>
      <c r="D46" s="6" t="s">
        <v>264</v>
      </c>
      <c r="E46" s="6" t="s">
        <v>64</v>
      </c>
      <c r="F46" s="6">
        <v>56.048000000000002</v>
      </c>
      <c r="G46" s="6" t="s">
        <v>21</v>
      </c>
      <c r="H46" s="6">
        <v>1.87</v>
      </c>
      <c r="I46" s="6">
        <v>0</v>
      </c>
      <c r="J46" s="6">
        <v>0.09</v>
      </c>
      <c r="K46" s="6">
        <v>5.04</v>
      </c>
      <c r="L46" s="6">
        <v>104.81</v>
      </c>
      <c r="M46" s="6">
        <v>2.0699999999999998</v>
      </c>
      <c r="N46" s="6">
        <v>116.02</v>
      </c>
      <c r="O46" s="6" t="s">
        <v>265</v>
      </c>
      <c r="P46" s="6">
        <v>0</v>
      </c>
    </row>
    <row r="47" spans="1:16" s="6" customFormat="1" x14ac:dyDescent="0.25">
      <c r="A47" s="6" t="s">
        <v>23</v>
      </c>
      <c r="B47" s="6" t="s">
        <v>205</v>
      </c>
      <c r="C47" s="6" t="s">
        <v>220</v>
      </c>
      <c r="D47" s="6" t="s">
        <v>221</v>
      </c>
      <c r="E47" s="6" t="s">
        <v>20</v>
      </c>
      <c r="F47" s="6">
        <v>67.900999999999897</v>
      </c>
      <c r="G47" s="6" t="s">
        <v>21</v>
      </c>
      <c r="H47" s="6">
        <v>1.67</v>
      </c>
      <c r="I47" s="6">
        <v>0</v>
      </c>
      <c r="J47" s="6">
        <v>0.02</v>
      </c>
      <c r="K47" s="6">
        <v>1.36</v>
      </c>
      <c r="L47" s="6">
        <v>113.39</v>
      </c>
      <c r="M47" s="6">
        <v>1.82</v>
      </c>
      <c r="N47" s="6">
        <v>123.58</v>
      </c>
      <c r="O47" s="6" t="s">
        <v>266</v>
      </c>
      <c r="P47" s="6">
        <v>0</v>
      </c>
    </row>
    <row r="48" spans="1:16" s="6" customFormat="1" x14ac:dyDescent="0.25">
      <c r="A48" s="6" t="s">
        <v>23</v>
      </c>
      <c r="B48" s="6" t="s">
        <v>205</v>
      </c>
      <c r="C48" s="6" t="s">
        <v>220</v>
      </c>
      <c r="D48" s="6" t="s">
        <v>221</v>
      </c>
      <c r="E48" s="6" t="s">
        <v>257</v>
      </c>
      <c r="F48" s="6">
        <v>10.339</v>
      </c>
      <c r="G48" s="6" t="s">
        <v>21</v>
      </c>
      <c r="H48" s="6">
        <v>1.27</v>
      </c>
      <c r="I48" s="6">
        <v>0</v>
      </c>
      <c r="J48" s="6">
        <v>0</v>
      </c>
      <c r="L48" s="6">
        <v>13.13</v>
      </c>
      <c r="M48" s="6">
        <v>1.27</v>
      </c>
      <c r="N48" s="6">
        <v>13.13</v>
      </c>
      <c r="O48" s="6" t="s">
        <v>267</v>
      </c>
      <c r="P48" s="6">
        <v>0</v>
      </c>
    </row>
    <row r="49" spans="1:16" s="6" customFormat="1" x14ac:dyDescent="0.25">
      <c r="A49" s="6" t="s">
        <v>23</v>
      </c>
      <c r="B49" s="6" t="s">
        <v>173</v>
      </c>
      <c r="C49" s="6" t="s">
        <v>196</v>
      </c>
      <c r="D49" s="6" t="s">
        <v>197</v>
      </c>
      <c r="E49" s="6" t="s">
        <v>20</v>
      </c>
      <c r="F49" s="6">
        <v>125.971999999999</v>
      </c>
      <c r="G49" s="6" t="s">
        <v>21</v>
      </c>
      <c r="H49" s="6">
        <v>1.67</v>
      </c>
      <c r="I49" s="6">
        <v>0</v>
      </c>
      <c r="J49" s="6">
        <v>0.02</v>
      </c>
      <c r="K49" s="6">
        <v>2.52</v>
      </c>
      <c r="L49" s="6">
        <v>210.37</v>
      </c>
      <c r="M49" s="6">
        <v>1.8</v>
      </c>
      <c r="N49" s="6">
        <v>226.75</v>
      </c>
      <c r="O49" s="6" t="s">
        <v>268</v>
      </c>
      <c r="P49" s="6">
        <v>0</v>
      </c>
    </row>
    <row r="50" spans="1:16" s="6" customFormat="1" x14ac:dyDescent="0.25">
      <c r="A50" s="6" t="s">
        <v>23</v>
      </c>
      <c r="B50" s="6" t="s">
        <v>173</v>
      </c>
      <c r="C50" s="6" t="s">
        <v>186</v>
      </c>
      <c r="D50" s="6" t="s">
        <v>187</v>
      </c>
      <c r="E50" s="6" t="s">
        <v>20</v>
      </c>
      <c r="F50" s="6">
        <v>53.828000000000003</v>
      </c>
      <c r="G50" s="6" t="s">
        <v>21</v>
      </c>
      <c r="H50" s="6">
        <v>1.67</v>
      </c>
      <c r="I50" s="6">
        <v>0</v>
      </c>
      <c r="J50" s="6">
        <v>0.02</v>
      </c>
      <c r="K50" s="6">
        <v>1.08</v>
      </c>
      <c r="L50" s="6">
        <v>89.89</v>
      </c>
      <c r="M50" s="6">
        <v>1.8</v>
      </c>
      <c r="N50" s="6">
        <v>96.89</v>
      </c>
      <c r="O50" s="6" t="s">
        <v>269</v>
      </c>
      <c r="P50" s="6">
        <v>0</v>
      </c>
    </row>
    <row r="51" spans="1:16" s="6" customFormat="1" x14ac:dyDescent="0.25">
      <c r="A51" s="6" t="s">
        <v>23</v>
      </c>
      <c r="B51" s="6" t="s">
        <v>242</v>
      </c>
      <c r="C51" s="6" t="s">
        <v>226</v>
      </c>
      <c r="D51" s="6" t="s">
        <v>227</v>
      </c>
      <c r="E51" s="6" t="s">
        <v>20</v>
      </c>
      <c r="F51" s="6">
        <v>17.0109999999999</v>
      </c>
      <c r="G51" s="6" t="s">
        <v>21</v>
      </c>
      <c r="H51" s="6">
        <v>1.67</v>
      </c>
      <c r="I51" s="6">
        <v>0</v>
      </c>
      <c r="J51" s="6">
        <v>0.02</v>
      </c>
      <c r="K51" s="6">
        <v>0.34</v>
      </c>
      <c r="L51" s="6">
        <v>28.41</v>
      </c>
      <c r="M51" s="6">
        <v>1.8</v>
      </c>
      <c r="N51" s="6">
        <v>30.62</v>
      </c>
      <c r="O51" s="6" t="s">
        <v>270</v>
      </c>
      <c r="P51" s="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78"/>
  <sheetViews>
    <sheetView topLeftCell="A49" workbookViewId="0">
      <selection activeCell="L77" sqref="L77"/>
    </sheetView>
  </sheetViews>
  <sheetFormatPr defaultRowHeight="15" x14ac:dyDescent="0.25"/>
  <cols>
    <col min="1" max="1" width="10.42578125" bestFit="1" customWidth="1"/>
    <col min="4" max="4" width="15.5703125" customWidth="1"/>
    <col min="5" max="5" width="4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42</v>
      </c>
      <c r="B2" s="6" t="s">
        <v>173</v>
      </c>
      <c r="C2" s="6" t="s">
        <v>271</v>
      </c>
      <c r="D2" s="6" t="s">
        <v>272</v>
      </c>
      <c r="E2" s="6" t="s">
        <v>64</v>
      </c>
      <c r="F2" s="6">
        <v>29.619</v>
      </c>
      <c r="G2" s="6" t="s">
        <v>21</v>
      </c>
      <c r="H2" s="6">
        <v>1.74</v>
      </c>
      <c r="I2" s="6">
        <v>0</v>
      </c>
      <c r="J2" s="6">
        <v>0.09</v>
      </c>
      <c r="K2" s="6">
        <v>2.67</v>
      </c>
      <c r="L2" s="6">
        <v>51.54</v>
      </c>
      <c r="M2" s="6">
        <v>1.94</v>
      </c>
      <c r="N2" s="6">
        <v>57.46</v>
      </c>
      <c r="O2" s="6" t="s">
        <v>273</v>
      </c>
      <c r="P2" s="6">
        <v>0</v>
      </c>
    </row>
    <row r="3" spans="1:16" s="6" customFormat="1" x14ac:dyDescent="0.25">
      <c r="A3" s="6" t="s">
        <v>42</v>
      </c>
      <c r="B3" s="6" t="s">
        <v>242</v>
      </c>
      <c r="C3" s="6" t="s">
        <v>274</v>
      </c>
      <c r="D3" s="6" t="s">
        <v>275</v>
      </c>
      <c r="E3" s="6" t="s">
        <v>20</v>
      </c>
      <c r="F3" s="6">
        <v>55</v>
      </c>
      <c r="G3" s="6" t="s">
        <v>21</v>
      </c>
      <c r="H3" s="6">
        <v>1.65</v>
      </c>
      <c r="I3" s="6">
        <v>0</v>
      </c>
      <c r="J3" s="6">
        <v>0</v>
      </c>
      <c r="K3" s="6">
        <v>0.16</v>
      </c>
      <c r="L3" s="6">
        <v>90.75</v>
      </c>
      <c r="M3" s="6">
        <v>1.69</v>
      </c>
      <c r="N3" s="6">
        <v>92.95</v>
      </c>
      <c r="O3" s="6" t="s">
        <v>276</v>
      </c>
      <c r="P3" s="6">
        <v>13.513500000000001</v>
      </c>
    </row>
    <row r="4" spans="1:16" s="6" customFormat="1" x14ac:dyDescent="0.25">
      <c r="A4" s="6" t="s">
        <v>42</v>
      </c>
      <c r="B4" s="6" t="s">
        <v>277</v>
      </c>
      <c r="C4" s="6" t="s">
        <v>278</v>
      </c>
      <c r="D4" s="6" t="s">
        <v>279</v>
      </c>
      <c r="E4" s="6" t="s">
        <v>87</v>
      </c>
      <c r="F4" s="6">
        <v>51.402000000000001</v>
      </c>
      <c r="G4" s="6" t="s">
        <v>21</v>
      </c>
      <c r="H4" s="6">
        <v>1.7</v>
      </c>
      <c r="I4" s="6">
        <v>0</v>
      </c>
      <c r="J4" s="6">
        <v>0.09</v>
      </c>
      <c r="K4" s="6">
        <v>4.63</v>
      </c>
      <c r="L4" s="6">
        <v>87.38</v>
      </c>
      <c r="M4" s="6">
        <v>1.74</v>
      </c>
      <c r="N4" s="6">
        <v>89.44</v>
      </c>
      <c r="O4" s="6" t="s">
        <v>280</v>
      </c>
      <c r="P4" s="6">
        <v>0</v>
      </c>
    </row>
    <row r="5" spans="1:16" s="6" customFormat="1" x14ac:dyDescent="0.25">
      <c r="A5" s="6" t="s">
        <v>51</v>
      </c>
      <c r="B5" s="6" t="s">
        <v>281</v>
      </c>
      <c r="C5" s="6" t="s">
        <v>282</v>
      </c>
      <c r="D5" s="6" t="s">
        <v>283</v>
      </c>
      <c r="E5" s="6" t="s">
        <v>87</v>
      </c>
      <c r="F5" s="6">
        <v>23.431000000000001</v>
      </c>
      <c r="G5" s="6" t="s">
        <v>21</v>
      </c>
      <c r="H5" s="6">
        <v>1.7</v>
      </c>
      <c r="I5" s="6">
        <v>0</v>
      </c>
      <c r="J5" s="6">
        <v>0.09</v>
      </c>
      <c r="K5" s="6">
        <v>2.11</v>
      </c>
      <c r="L5" s="6">
        <v>39.83</v>
      </c>
      <c r="M5" s="6">
        <v>1.74</v>
      </c>
      <c r="N5" s="6">
        <v>40.770000000000003</v>
      </c>
      <c r="O5" s="6" t="s">
        <v>284</v>
      </c>
      <c r="P5" s="6">
        <v>0</v>
      </c>
    </row>
    <row r="6" spans="1:16" s="6" customFormat="1" x14ac:dyDescent="0.25">
      <c r="A6" s="6" t="s">
        <v>51</v>
      </c>
      <c r="B6" s="6" t="s">
        <v>285</v>
      </c>
      <c r="C6" s="6" t="s">
        <v>286</v>
      </c>
      <c r="D6" s="6" t="s">
        <v>287</v>
      </c>
      <c r="E6" s="6" t="s">
        <v>87</v>
      </c>
      <c r="F6" s="6">
        <v>51.301000000000002</v>
      </c>
      <c r="G6" s="6" t="s">
        <v>21</v>
      </c>
      <c r="H6" s="6">
        <v>1.7</v>
      </c>
      <c r="I6" s="6">
        <v>0</v>
      </c>
      <c r="J6" s="6">
        <v>0.09</v>
      </c>
      <c r="K6" s="6">
        <v>4.62</v>
      </c>
      <c r="L6" s="6">
        <v>87.21</v>
      </c>
      <c r="M6" s="6">
        <v>1.73</v>
      </c>
      <c r="N6" s="6">
        <v>88.75</v>
      </c>
      <c r="O6" s="6" t="s">
        <v>168</v>
      </c>
      <c r="P6" s="6">
        <v>0</v>
      </c>
    </row>
    <row r="7" spans="1:16" s="6" customFormat="1" x14ac:dyDescent="0.25">
      <c r="A7" s="6" t="s">
        <v>51</v>
      </c>
      <c r="B7" s="6" t="s">
        <v>285</v>
      </c>
      <c r="C7" s="6" t="s">
        <v>286</v>
      </c>
      <c r="D7" s="6" t="s">
        <v>287</v>
      </c>
      <c r="E7" s="6" t="s">
        <v>288</v>
      </c>
      <c r="F7" s="6">
        <v>1</v>
      </c>
      <c r="G7" s="6" t="s">
        <v>210</v>
      </c>
      <c r="H7" s="6">
        <v>6.64</v>
      </c>
      <c r="I7" s="6">
        <v>0</v>
      </c>
      <c r="J7" s="6">
        <v>0</v>
      </c>
      <c r="L7" s="6">
        <v>6.64</v>
      </c>
      <c r="M7" s="6">
        <v>6.64</v>
      </c>
      <c r="N7" s="6">
        <v>6.64</v>
      </c>
      <c r="O7" s="6" t="s">
        <v>168</v>
      </c>
      <c r="P7" s="6">
        <v>0</v>
      </c>
    </row>
    <row r="8" spans="1:16" s="6" customFormat="1" x14ac:dyDescent="0.25">
      <c r="A8" s="6" t="s">
        <v>51</v>
      </c>
      <c r="B8" s="6" t="s">
        <v>285</v>
      </c>
      <c r="C8" s="6" t="s">
        <v>286</v>
      </c>
      <c r="D8" s="6" t="s">
        <v>287</v>
      </c>
      <c r="E8" s="6" t="s">
        <v>289</v>
      </c>
      <c r="F8" s="6">
        <v>2</v>
      </c>
      <c r="G8" s="6" t="s">
        <v>210</v>
      </c>
      <c r="H8" s="6">
        <v>1.07</v>
      </c>
      <c r="I8" s="6">
        <v>0</v>
      </c>
      <c r="J8" s="6">
        <v>0</v>
      </c>
      <c r="L8" s="6">
        <v>2.14</v>
      </c>
      <c r="M8" s="6">
        <v>1.07</v>
      </c>
      <c r="N8" s="6">
        <v>2.14</v>
      </c>
      <c r="O8" s="6" t="s">
        <v>168</v>
      </c>
      <c r="P8" s="6">
        <v>0</v>
      </c>
    </row>
    <row r="9" spans="1:16" s="6" customFormat="1" x14ac:dyDescent="0.25">
      <c r="A9" s="6" t="s">
        <v>56</v>
      </c>
      <c r="B9" s="6" t="s">
        <v>84</v>
      </c>
      <c r="C9" s="6" t="s">
        <v>290</v>
      </c>
      <c r="D9" s="6" t="s">
        <v>291</v>
      </c>
      <c r="E9" s="6" t="s">
        <v>30</v>
      </c>
      <c r="F9" s="6">
        <v>29.9529999999999</v>
      </c>
      <c r="G9" s="6" t="s">
        <v>21</v>
      </c>
      <c r="H9" s="6">
        <v>1.43</v>
      </c>
      <c r="I9" s="6">
        <v>0</v>
      </c>
      <c r="J9" s="6">
        <v>0.03</v>
      </c>
      <c r="K9" s="6">
        <v>0.9</v>
      </c>
      <c r="L9" s="6">
        <v>42.83</v>
      </c>
      <c r="M9" s="6">
        <v>1.49</v>
      </c>
      <c r="N9" s="6">
        <v>44.63</v>
      </c>
      <c r="O9" s="6" t="s">
        <v>292</v>
      </c>
      <c r="P9" s="6">
        <v>0</v>
      </c>
    </row>
    <row r="10" spans="1:16" s="6" customFormat="1" x14ac:dyDescent="0.25">
      <c r="A10" s="6" t="s">
        <v>56</v>
      </c>
      <c r="B10" s="6" t="s">
        <v>293</v>
      </c>
      <c r="C10" s="6" t="s">
        <v>294</v>
      </c>
      <c r="D10" s="6" t="s">
        <v>295</v>
      </c>
      <c r="E10" s="6" t="s">
        <v>30</v>
      </c>
      <c r="F10" s="6">
        <v>17.6419999999999</v>
      </c>
      <c r="G10" s="6" t="s">
        <v>21</v>
      </c>
      <c r="H10" s="6">
        <v>1.43</v>
      </c>
      <c r="I10" s="6">
        <v>0</v>
      </c>
      <c r="J10" s="6">
        <v>0.03</v>
      </c>
      <c r="K10" s="6">
        <v>0.53</v>
      </c>
      <c r="L10" s="6">
        <v>25.23</v>
      </c>
      <c r="M10" s="6">
        <v>1.48</v>
      </c>
      <c r="N10" s="6">
        <v>26.11</v>
      </c>
      <c r="O10" s="6" t="s">
        <v>296</v>
      </c>
      <c r="P10" s="6">
        <v>0</v>
      </c>
    </row>
    <row r="11" spans="1:16" s="6" customFormat="1" x14ac:dyDescent="0.25">
      <c r="A11" s="6" t="s">
        <v>56</v>
      </c>
      <c r="B11" s="6" t="s">
        <v>277</v>
      </c>
      <c r="C11" s="6" t="s">
        <v>297</v>
      </c>
      <c r="D11" s="6" t="s">
        <v>298</v>
      </c>
      <c r="E11" s="6" t="s">
        <v>87</v>
      </c>
      <c r="F11" s="6">
        <v>18.091999999999899</v>
      </c>
      <c r="G11" s="6" t="s">
        <v>21</v>
      </c>
      <c r="H11" s="6">
        <v>1.7</v>
      </c>
      <c r="I11" s="6">
        <v>0</v>
      </c>
      <c r="J11" s="6">
        <v>0.09</v>
      </c>
      <c r="K11" s="6">
        <v>1.63</v>
      </c>
      <c r="L11" s="6">
        <v>30.76</v>
      </c>
      <c r="M11" s="6">
        <v>1.74</v>
      </c>
      <c r="N11" s="6">
        <v>31.48</v>
      </c>
      <c r="O11" s="6" t="s">
        <v>299</v>
      </c>
      <c r="P11" s="6">
        <v>0</v>
      </c>
    </row>
    <row r="12" spans="1:16" s="6" customFormat="1" x14ac:dyDescent="0.25">
      <c r="A12" s="6" t="s">
        <v>56</v>
      </c>
      <c r="B12" s="6" t="s">
        <v>300</v>
      </c>
      <c r="C12" s="6" t="s">
        <v>294</v>
      </c>
      <c r="D12" s="6" t="s">
        <v>295</v>
      </c>
      <c r="E12" s="6" t="s">
        <v>30</v>
      </c>
      <c r="F12" s="6">
        <v>11.779</v>
      </c>
      <c r="G12" s="6" t="s">
        <v>21</v>
      </c>
      <c r="H12" s="6">
        <v>1.43</v>
      </c>
      <c r="I12" s="6">
        <v>0</v>
      </c>
      <c r="J12" s="6">
        <v>0.03</v>
      </c>
      <c r="K12" s="6">
        <v>0.35</v>
      </c>
      <c r="L12" s="6">
        <v>16.84</v>
      </c>
      <c r="M12" s="6">
        <v>1.49</v>
      </c>
      <c r="N12" s="6">
        <v>17.55</v>
      </c>
      <c r="O12" s="6" t="s">
        <v>301</v>
      </c>
      <c r="P12" s="6">
        <v>0</v>
      </c>
    </row>
    <row r="13" spans="1:16" s="6" customFormat="1" x14ac:dyDescent="0.25">
      <c r="A13" s="6" t="s">
        <v>56</v>
      </c>
      <c r="B13" s="6" t="s">
        <v>285</v>
      </c>
      <c r="C13" s="6" t="s">
        <v>286</v>
      </c>
      <c r="D13" s="6" t="s">
        <v>287</v>
      </c>
      <c r="E13" s="6" t="s">
        <v>87</v>
      </c>
      <c r="F13" s="6">
        <v>31.0399999999999</v>
      </c>
      <c r="G13" s="6" t="s">
        <v>21</v>
      </c>
      <c r="H13" s="6">
        <v>1.7</v>
      </c>
      <c r="I13" s="6">
        <v>0</v>
      </c>
      <c r="J13" s="6">
        <v>0.09</v>
      </c>
      <c r="K13" s="6">
        <v>2.79</v>
      </c>
      <c r="L13" s="6">
        <v>52.77</v>
      </c>
      <c r="M13" s="6">
        <v>1.73</v>
      </c>
      <c r="N13" s="6">
        <v>53.7</v>
      </c>
      <c r="O13" s="6" t="s">
        <v>302</v>
      </c>
      <c r="P13" s="6">
        <v>0</v>
      </c>
    </row>
    <row r="14" spans="1:16" s="6" customFormat="1" x14ac:dyDescent="0.25">
      <c r="A14" s="6" t="s">
        <v>107</v>
      </c>
      <c r="B14" s="6" t="s">
        <v>303</v>
      </c>
      <c r="C14" s="6" t="s">
        <v>304</v>
      </c>
      <c r="D14" s="6" t="s">
        <v>305</v>
      </c>
      <c r="E14" s="6" t="s">
        <v>87</v>
      </c>
      <c r="F14" s="6">
        <v>9.6419999999999906</v>
      </c>
      <c r="G14" s="6" t="s">
        <v>21</v>
      </c>
      <c r="H14" s="6">
        <v>1.7</v>
      </c>
      <c r="I14" s="6">
        <v>0</v>
      </c>
      <c r="J14" s="6">
        <v>7.0000000000000007E-2</v>
      </c>
      <c r="K14" s="6">
        <v>0.67</v>
      </c>
      <c r="L14" s="6">
        <v>16.39</v>
      </c>
      <c r="M14" s="6">
        <v>1.76</v>
      </c>
      <c r="N14" s="6">
        <v>16.97</v>
      </c>
      <c r="O14" s="6" t="s">
        <v>306</v>
      </c>
      <c r="P14" s="6">
        <v>0</v>
      </c>
    </row>
    <row r="15" spans="1:16" s="6" customFormat="1" x14ac:dyDescent="0.25">
      <c r="A15" s="6" t="s">
        <v>107</v>
      </c>
      <c r="B15" s="6" t="s">
        <v>181</v>
      </c>
      <c r="C15" s="6" t="s">
        <v>286</v>
      </c>
      <c r="D15" s="6" t="s">
        <v>287</v>
      </c>
      <c r="E15" s="6" t="s">
        <v>87</v>
      </c>
      <c r="F15" s="6">
        <v>39.101999999999897</v>
      </c>
      <c r="G15" s="6" t="s">
        <v>21</v>
      </c>
      <c r="H15" s="6">
        <v>1.7</v>
      </c>
      <c r="I15" s="6">
        <v>0</v>
      </c>
      <c r="J15" s="6">
        <v>7.0000000000000007E-2</v>
      </c>
      <c r="K15" s="6">
        <v>2.74</v>
      </c>
      <c r="L15" s="6">
        <v>66.47</v>
      </c>
      <c r="M15" s="6">
        <v>1.76</v>
      </c>
      <c r="N15" s="6">
        <v>68.819999999999993</v>
      </c>
      <c r="O15" s="6" t="s">
        <v>307</v>
      </c>
      <c r="P15" s="6">
        <v>0</v>
      </c>
    </row>
    <row r="16" spans="1:16" s="6" customFormat="1" x14ac:dyDescent="0.25">
      <c r="A16" s="6" t="s">
        <v>185</v>
      </c>
      <c r="B16" s="6" t="s">
        <v>173</v>
      </c>
      <c r="C16" s="6" t="s">
        <v>271</v>
      </c>
      <c r="D16" s="6" t="s">
        <v>272</v>
      </c>
      <c r="E16" s="6" t="s">
        <v>64</v>
      </c>
      <c r="F16" s="6">
        <v>44.771000000000001</v>
      </c>
      <c r="G16" s="6" t="s">
        <v>21</v>
      </c>
      <c r="H16" s="6">
        <v>1.81</v>
      </c>
      <c r="I16" s="6">
        <v>0</v>
      </c>
      <c r="J16" s="6">
        <v>0.09</v>
      </c>
      <c r="K16" s="6">
        <v>4.03</v>
      </c>
      <c r="L16" s="6">
        <v>81.040000000000006</v>
      </c>
      <c r="M16" s="6">
        <v>2.0099999999999998</v>
      </c>
      <c r="N16" s="6">
        <v>89.99</v>
      </c>
      <c r="O16" s="6" t="s">
        <v>308</v>
      </c>
      <c r="P16" s="6">
        <v>0</v>
      </c>
    </row>
    <row r="17" spans="1:16" s="6" customFormat="1" x14ac:dyDescent="0.25">
      <c r="A17" s="6" t="s">
        <v>58</v>
      </c>
      <c r="B17" s="6" t="s">
        <v>309</v>
      </c>
      <c r="C17" s="6" t="s">
        <v>282</v>
      </c>
      <c r="D17" s="6" t="s">
        <v>283</v>
      </c>
      <c r="E17" s="6" t="s">
        <v>87</v>
      </c>
      <c r="F17" s="6">
        <v>24.425999999999899</v>
      </c>
      <c r="G17" s="6" t="s">
        <v>21</v>
      </c>
      <c r="H17" s="6">
        <v>1.7</v>
      </c>
      <c r="I17" s="6">
        <v>0</v>
      </c>
      <c r="J17" s="6">
        <v>7.0000000000000007E-2</v>
      </c>
      <c r="K17" s="6">
        <v>1.71</v>
      </c>
      <c r="L17" s="6">
        <v>41.52</v>
      </c>
      <c r="M17" s="6">
        <v>1.76</v>
      </c>
      <c r="N17" s="6">
        <v>42.99</v>
      </c>
      <c r="O17" s="6" t="s">
        <v>310</v>
      </c>
      <c r="P17" s="6">
        <v>0</v>
      </c>
    </row>
    <row r="18" spans="1:16" s="6" customFormat="1" x14ac:dyDescent="0.25">
      <c r="A18" s="6" t="s">
        <v>58</v>
      </c>
      <c r="B18" s="6" t="s">
        <v>311</v>
      </c>
      <c r="C18" s="6" t="s">
        <v>278</v>
      </c>
      <c r="D18" s="6" t="s">
        <v>279</v>
      </c>
      <c r="E18" s="6" t="s">
        <v>87</v>
      </c>
      <c r="F18" s="6">
        <v>51.863</v>
      </c>
      <c r="G18" s="6" t="s">
        <v>21</v>
      </c>
      <c r="H18" s="6">
        <v>1.7</v>
      </c>
      <c r="I18" s="6">
        <v>0</v>
      </c>
      <c r="J18" s="6">
        <v>7.0000000000000007E-2</v>
      </c>
      <c r="K18" s="6">
        <v>3.63</v>
      </c>
      <c r="L18" s="6">
        <v>88.17</v>
      </c>
      <c r="M18" s="6">
        <v>1.75</v>
      </c>
      <c r="N18" s="6">
        <v>90.76</v>
      </c>
      <c r="O18" s="6" t="s">
        <v>312</v>
      </c>
      <c r="P18" s="6">
        <v>0</v>
      </c>
    </row>
    <row r="19" spans="1:16" s="6" customFormat="1" x14ac:dyDescent="0.25">
      <c r="A19" s="6" t="s">
        <v>111</v>
      </c>
      <c r="B19" s="6" t="s">
        <v>84</v>
      </c>
      <c r="C19" s="6" t="s">
        <v>290</v>
      </c>
      <c r="D19" s="6" t="s">
        <v>291</v>
      </c>
      <c r="E19" s="6" t="s">
        <v>30</v>
      </c>
      <c r="F19" s="6">
        <v>33.901000000000003</v>
      </c>
      <c r="G19" s="6" t="s">
        <v>21</v>
      </c>
      <c r="H19" s="6">
        <v>1.43</v>
      </c>
      <c r="I19" s="6">
        <v>0</v>
      </c>
      <c r="J19" s="6">
        <v>0.03</v>
      </c>
      <c r="K19" s="6">
        <v>1.02</v>
      </c>
      <c r="L19" s="6">
        <v>48.48</v>
      </c>
      <c r="M19" s="6">
        <v>1.51</v>
      </c>
      <c r="N19" s="6">
        <v>51.19</v>
      </c>
      <c r="O19" s="6" t="s">
        <v>200</v>
      </c>
      <c r="P19" s="6">
        <v>0</v>
      </c>
    </row>
    <row r="20" spans="1:16" s="6" customFormat="1" x14ac:dyDescent="0.25">
      <c r="A20" s="6" t="s">
        <v>111</v>
      </c>
      <c r="B20" s="6" t="s">
        <v>313</v>
      </c>
      <c r="C20" s="6" t="s">
        <v>304</v>
      </c>
      <c r="D20" s="6" t="s">
        <v>305</v>
      </c>
      <c r="E20" s="6" t="s">
        <v>87</v>
      </c>
      <c r="F20" s="6">
        <v>22.1419999999999</v>
      </c>
      <c r="G20" s="6" t="s">
        <v>21</v>
      </c>
      <c r="H20" s="6">
        <v>1.7</v>
      </c>
      <c r="I20" s="6">
        <v>0</v>
      </c>
      <c r="J20" s="6">
        <v>7.0000000000000007E-2</v>
      </c>
      <c r="K20" s="6">
        <v>1.55</v>
      </c>
      <c r="L20" s="6">
        <v>37.64</v>
      </c>
      <c r="M20" s="6">
        <v>1.76</v>
      </c>
      <c r="N20" s="6">
        <v>38.97</v>
      </c>
      <c r="O20" s="6" t="s">
        <v>314</v>
      </c>
      <c r="P20" s="6">
        <v>0</v>
      </c>
    </row>
    <row r="21" spans="1:16" s="6" customFormat="1" x14ac:dyDescent="0.25">
      <c r="A21" s="6" t="s">
        <v>111</v>
      </c>
      <c r="B21" s="6" t="s">
        <v>281</v>
      </c>
      <c r="C21" s="6" t="s">
        <v>278</v>
      </c>
      <c r="D21" s="6" t="s">
        <v>279</v>
      </c>
      <c r="E21" s="6" t="s">
        <v>87</v>
      </c>
      <c r="F21" s="6">
        <v>30.187999999999899</v>
      </c>
      <c r="G21" s="6" t="s">
        <v>21</v>
      </c>
      <c r="H21" s="6">
        <v>1.7</v>
      </c>
      <c r="I21" s="6">
        <v>0</v>
      </c>
      <c r="J21" s="6">
        <v>7.0000000000000007E-2</v>
      </c>
      <c r="K21" s="6">
        <v>2.11</v>
      </c>
      <c r="L21" s="6">
        <v>51.32</v>
      </c>
      <c r="M21" s="6">
        <v>1.76</v>
      </c>
      <c r="N21" s="6">
        <v>53.13</v>
      </c>
      <c r="O21" s="6" t="s">
        <v>315</v>
      </c>
      <c r="P21" s="6">
        <v>0</v>
      </c>
    </row>
    <row r="22" spans="1:16" s="6" customFormat="1" x14ac:dyDescent="0.25">
      <c r="A22" s="6" t="s">
        <v>66</v>
      </c>
      <c r="B22" s="6" t="s">
        <v>316</v>
      </c>
      <c r="C22" s="6" t="s">
        <v>290</v>
      </c>
      <c r="D22" s="6" t="s">
        <v>291</v>
      </c>
      <c r="E22" s="6" t="s">
        <v>30</v>
      </c>
      <c r="F22" s="6">
        <v>17.152000000000001</v>
      </c>
      <c r="G22" s="6" t="s">
        <v>21</v>
      </c>
      <c r="H22" s="6">
        <v>1.43</v>
      </c>
      <c r="I22" s="6">
        <v>0</v>
      </c>
      <c r="J22" s="6">
        <v>0.03</v>
      </c>
      <c r="K22" s="6">
        <v>0.51</v>
      </c>
      <c r="L22" s="6">
        <v>24.53</v>
      </c>
      <c r="M22" s="6">
        <v>1.51</v>
      </c>
      <c r="N22" s="6">
        <v>25.9</v>
      </c>
      <c r="O22" s="6" t="s">
        <v>317</v>
      </c>
      <c r="P22" s="6">
        <v>0</v>
      </c>
    </row>
    <row r="23" spans="1:16" s="6" customFormat="1" x14ac:dyDescent="0.25">
      <c r="A23" s="6" t="s">
        <v>66</v>
      </c>
      <c r="B23" s="6" t="s">
        <v>316</v>
      </c>
      <c r="C23" s="6" t="s">
        <v>290</v>
      </c>
      <c r="D23" s="6" t="s">
        <v>291</v>
      </c>
      <c r="E23" s="6" t="s">
        <v>209</v>
      </c>
      <c r="F23" s="6">
        <v>1</v>
      </c>
      <c r="G23" s="6" t="s">
        <v>210</v>
      </c>
      <c r="H23" s="6">
        <v>9.49</v>
      </c>
      <c r="I23" s="6">
        <v>0</v>
      </c>
      <c r="J23" s="6">
        <v>0</v>
      </c>
      <c r="L23" s="6">
        <v>9.49</v>
      </c>
      <c r="M23" s="6">
        <v>9.49</v>
      </c>
      <c r="N23" s="6">
        <v>9.49</v>
      </c>
      <c r="O23" s="6" t="s">
        <v>317</v>
      </c>
      <c r="P23" s="6">
        <v>0</v>
      </c>
    </row>
    <row r="24" spans="1:16" s="6" customFormat="1" x14ac:dyDescent="0.25">
      <c r="A24" s="6" t="s">
        <v>66</v>
      </c>
      <c r="B24" s="6" t="s">
        <v>318</v>
      </c>
      <c r="C24" s="6" t="s">
        <v>294</v>
      </c>
      <c r="D24" s="6" t="s">
        <v>295</v>
      </c>
      <c r="E24" s="6" t="s">
        <v>30</v>
      </c>
      <c r="F24" s="6">
        <v>30.901</v>
      </c>
      <c r="G24" s="6" t="s">
        <v>21</v>
      </c>
      <c r="H24" s="6">
        <v>1.43</v>
      </c>
      <c r="I24" s="6">
        <v>0</v>
      </c>
      <c r="J24" s="6">
        <v>0.03</v>
      </c>
      <c r="K24" s="6">
        <v>0.93</v>
      </c>
      <c r="L24" s="6">
        <v>44.19</v>
      </c>
      <c r="M24" s="6">
        <v>1.51</v>
      </c>
      <c r="N24" s="6">
        <v>46.66</v>
      </c>
      <c r="O24" s="6" t="s">
        <v>319</v>
      </c>
      <c r="P24" s="6">
        <v>0</v>
      </c>
    </row>
    <row r="25" spans="1:16" s="6" customFormat="1" x14ac:dyDescent="0.25">
      <c r="A25" s="6" t="s">
        <v>66</v>
      </c>
      <c r="B25" s="6" t="s">
        <v>320</v>
      </c>
      <c r="C25" s="6" t="s">
        <v>321</v>
      </c>
      <c r="D25" s="6" t="s">
        <v>322</v>
      </c>
      <c r="E25" s="6" t="s">
        <v>30</v>
      </c>
      <c r="F25" s="6">
        <v>30</v>
      </c>
      <c r="G25" s="6" t="s">
        <v>21</v>
      </c>
      <c r="H25" s="6">
        <v>1.43</v>
      </c>
      <c r="I25" s="6">
        <v>0</v>
      </c>
      <c r="J25" s="6">
        <v>0.03</v>
      </c>
      <c r="K25" s="6">
        <v>0.9</v>
      </c>
      <c r="L25" s="6">
        <v>42.9</v>
      </c>
      <c r="M25" s="6">
        <v>1.5</v>
      </c>
      <c r="N25" s="6">
        <v>45</v>
      </c>
      <c r="O25" s="6" t="s">
        <v>323</v>
      </c>
      <c r="P25" s="6">
        <v>93000</v>
      </c>
    </row>
    <row r="26" spans="1:16" s="6" customFormat="1" x14ac:dyDescent="0.25">
      <c r="A26" s="6" t="s">
        <v>324</v>
      </c>
      <c r="B26" s="6" t="s">
        <v>173</v>
      </c>
      <c r="C26" s="6" t="s">
        <v>271</v>
      </c>
      <c r="D26" s="6" t="s">
        <v>272</v>
      </c>
      <c r="E26" s="6" t="s">
        <v>64</v>
      </c>
      <c r="F26" s="6">
        <v>27.228000000000002</v>
      </c>
      <c r="G26" s="6" t="s">
        <v>21</v>
      </c>
      <c r="H26" s="6">
        <v>1.84</v>
      </c>
      <c r="I26" s="6">
        <v>0</v>
      </c>
      <c r="J26" s="6">
        <v>0.09</v>
      </c>
      <c r="K26" s="6">
        <v>2.4500000000000002</v>
      </c>
      <c r="L26" s="6">
        <v>50.1</v>
      </c>
      <c r="M26" s="6">
        <v>2.02</v>
      </c>
      <c r="N26" s="6">
        <v>55</v>
      </c>
      <c r="O26" s="6" t="s">
        <v>325</v>
      </c>
      <c r="P26" s="6">
        <v>0</v>
      </c>
    </row>
    <row r="27" spans="1:16" s="6" customFormat="1" x14ac:dyDescent="0.25">
      <c r="A27" s="6" t="s">
        <v>324</v>
      </c>
      <c r="B27" s="6" t="s">
        <v>173</v>
      </c>
      <c r="C27" s="6" t="s">
        <v>326</v>
      </c>
      <c r="D27" s="6" t="s">
        <v>327</v>
      </c>
      <c r="E27" s="6" t="s">
        <v>64</v>
      </c>
      <c r="F27" s="6">
        <v>18.4499999999999</v>
      </c>
      <c r="G27" s="6" t="s">
        <v>21</v>
      </c>
      <c r="H27" s="6">
        <v>1.84</v>
      </c>
      <c r="I27" s="6">
        <v>0</v>
      </c>
      <c r="J27" s="6">
        <v>0.09</v>
      </c>
      <c r="K27" s="6">
        <v>1.66</v>
      </c>
      <c r="L27" s="6">
        <v>33.950000000000003</v>
      </c>
      <c r="M27" s="6">
        <v>2.02</v>
      </c>
      <c r="N27" s="6">
        <v>37.270000000000003</v>
      </c>
      <c r="O27" s="6" t="s">
        <v>92</v>
      </c>
      <c r="P27" s="6">
        <v>0</v>
      </c>
    </row>
    <row r="28" spans="1:16" s="6" customFormat="1" x14ac:dyDescent="0.25">
      <c r="A28" s="6" t="s">
        <v>324</v>
      </c>
      <c r="B28" s="6" t="s">
        <v>311</v>
      </c>
      <c r="C28" s="6" t="s">
        <v>274</v>
      </c>
      <c r="D28" s="6" t="s">
        <v>275</v>
      </c>
      <c r="E28" s="6" t="s">
        <v>64</v>
      </c>
      <c r="F28" s="6">
        <v>48.509999999999899</v>
      </c>
      <c r="G28" s="6" t="s">
        <v>21</v>
      </c>
      <c r="H28" s="6">
        <v>1.84</v>
      </c>
      <c r="I28" s="6">
        <v>0</v>
      </c>
      <c r="J28" s="6">
        <v>0.09</v>
      </c>
      <c r="K28" s="6">
        <v>4.37</v>
      </c>
      <c r="L28" s="6">
        <v>89.26</v>
      </c>
      <c r="M28" s="6">
        <v>2.02</v>
      </c>
      <c r="N28" s="6">
        <v>97.99</v>
      </c>
      <c r="O28" s="6" t="s">
        <v>328</v>
      </c>
      <c r="P28" s="6">
        <v>135800</v>
      </c>
    </row>
    <row r="29" spans="1:16" s="6" customFormat="1" x14ac:dyDescent="0.25">
      <c r="A29" s="6" t="s">
        <v>324</v>
      </c>
      <c r="B29" s="6" t="s">
        <v>281</v>
      </c>
      <c r="C29" s="6" t="s">
        <v>329</v>
      </c>
      <c r="D29" s="6" t="s">
        <v>330</v>
      </c>
      <c r="E29" s="6" t="s">
        <v>87</v>
      </c>
      <c r="F29" s="6">
        <v>27.17</v>
      </c>
      <c r="G29" s="6" t="s">
        <v>21</v>
      </c>
      <c r="H29" s="6">
        <v>1.7</v>
      </c>
      <c r="I29" s="6">
        <v>0</v>
      </c>
      <c r="J29" s="6">
        <v>7.0000000000000007E-2</v>
      </c>
      <c r="K29" s="6">
        <v>1.9</v>
      </c>
      <c r="L29" s="6">
        <v>46.19</v>
      </c>
      <c r="M29" s="6">
        <v>1.76</v>
      </c>
      <c r="N29" s="6">
        <v>47.82</v>
      </c>
      <c r="O29" s="6" t="s">
        <v>331</v>
      </c>
      <c r="P29" s="6">
        <v>0</v>
      </c>
    </row>
    <row r="30" spans="1:16" s="6" customFormat="1" x14ac:dyDescent="0.25">
      <c r="A30" s="6" t="s">
        <v>332</v>
      </c>
      <c r="B30" s="6" t="s">
        <v>84</v>
      </c>
      <c r="C30" s="6" t="s">
        <v>278</v>
      </c>
      <c r="D30" s="6" t="s">
        <v>279</v>
      </c>
      <c r="E30" s="6" t="s">
        <v>87</v>
      </c>
      <c r="F30" s="6">
        <v>49.2989999999999</v>
      </c>
      <c r="G30" s="6" t="s">
        <v>21</v>
      </c>
      <c r="H30" s="6">
        <v>1.7</v>
      </c>
      <c r="I30" s="6">
        <v>0</v>
      </c>
      <c r="J30" s="6">
        <v>7.0000000000000007E-2</v>
      </c>
      <c r="K30" s="6">
        <v>3.45</v>
      </c>
      <c r="L30" s="6">
        <v>83.81</v>
      </c>
      <c r="M30" s="6">
        <v>1.77</v>
      </c>
      <c r="N30" s="6">
        <v>87.26</v>
      </c>
      <c r="O30" s="6" t="s">
        <v>333</v>
      </c>
      <c r="P30" s="6">
        <v>0</v>
      </c>
    </row>
    <row r="31" spans="1:16" s="6" customFormat="1" x14ac:dyDescent="0.25">
      <c r="A31" s="6" t="s">
        <v>332</v>
      </c>
      <c r="B31" s="6" t="s">
        <v>281</v>
      </c>
      <c r="C31" s="6" t="s">
        <v>271</v>
      </c>
      <c r="D31" s="6" t="s">
        <v>272</v>
      </c>
      <c r="E31" s="6" t="s">
        <v>64</v>
      </c>
      <c r="F31" s="6">
        <v>28.579999999999899</v>
      </c>
      <c r="G31" s="6" t="s">
        <v>21</v>
      </c>
      <c r="H31" s="6">
        <v>1.84</v>
      </c>
      <c r="I31" s="6">
        <v>0</v>
      </c>
      <c r="J31" s="6">
        <v>0.09</v>
      </c>
      <c r="K31" s="6">
        <v>2.57</v>
      </c>
      <c r="L31" s="6">
        <v>52.59</v>
      </c>
      <c r="M31" s="6">
        <v>2.0499999999999998</v>
      </c>
      <c r="N31" s="6">
        <v>58.59</v>
      </c>
      <c r="O31" s="6" t="s">
        <v>334</v>
      </c>
      <c r="P31" s="6">
        <v>0</v>
      </c>
    </row>
    <row r="32" spans="1:16" s="6" customFormat="1" x14ac:dyDescent="0.25">
      <c r="A32" s="6" t="s">
        <v>134</v>
      </c>
      <c r="B32" s="6" t="s">
        <v>207</v>
      </c>
      <c r="C32" s="6" t="s">
        <v>278</v>
      </c>
      <c r="D32" s="6" t="s">
        <v>279</v>
      </c>
      <c r="E32" s="6" t="s">
        <v>87</v>
      </c>
      <c r="F32" s="6">
        <v>40.563000000000002</v>
      </c>
      <c r="G32" s="6" t="s">
        <v>21</v>
      </c>
      <c r="H32" s="6">
        <v>1.7</v>
      </c>
      <c r="I32" s="6">
        <v>0</v>
      </c>
      <c r="J32" s="6">
        <v>7.0000000000000007E-2</v>
      </c>
      <c r="K32" s="6">
        <v>2.84</v>
      </c>
      <c r="L32" s="6">
        <v>68.959999999999994</v>
      </c>
      <c r="M32" s="6">
        <v>1.76</v>
      </c>
      <c r="N32" s="6">
        <v>71.39</v>
      </c>
      <c r="O32" s="6" t="s">
        <v>236</v>
      </c>
      <c r="P32" s="6">
        <v>0</v>
      </c>
    </row>
    <row r="33" spans="1:16" s="6" customFormat="1" x14ac:dyDescent="0.25">
      <c r="A33" s="6" t="s">
        <v>158</v>
      </c>
      <c r="B33" s="6" t="s">
        <v>335</v>
      </c>
      <c r="C33" s="6" t="s">
        <v>278</v>
      </c>
      <c r="D33" s="6" t="s">
        <v>279</v>
      </c>
      <c r="E33" s="6" t="s">
        <v>87</v>
      </c>
      <c r="F33" s="6">
        <v>21.527999999999899</v>
      </c>
      <c r="G33" s="6" t="s">
        <v>21</v>
      </c>
      <c r="H33" s="6">
        <v>1.71</v>
      </c>
      <c r="I33" s="6">
        <v>0</v>
      </c>
      <c r="J33" s="6">
        <v>7.0000000000000007E-2</v>
      </c>
      <c r="K33" s="6">
        <v>1.51</v>
      </c>
      <c r="L33" s="6">
        <v>36.81</v>
      </c>
      <c r="M33" s="6">
        <v>1.76</v>
      </c>
      <c r="N33" s="6">
        <v>37.89</v>
      </c>
      <c r="O33" s="6" t="s">
        <v>336</v>
      </c>
      <c r="P33" s="6">
        <v>0</v>
      </c>
    </row>
    <row r="34" spans="1:16" s="6" customFormat="1" x14ac:dyDescent="0.25">
      <c r="A34" s="6" t="s">
        <v>136</v>
      </c>
      <c r="B34" s="6" t="s">
        <v>207</v>
      </c>
      <c r="C34" s="6" t="s">
        <v>271</v>
      </c>
      <c r="D34" s="6" t="s">
        <v>272</v>
      </c>
      <c r="E34" s="6" t="s">
        <v>64</v>
      </c>
      <c r="F34" s="6">
        <v>31.27</v>
      </c>
      <c r="G34" s="6" t="s">
        <v>21</v>
      </c>
      <c r="H34" s="6">
        <v>1.85</v>
      </c>
      <c r="I34" s="6">
        <v>0</v>
      </c>
      <c r="J34" s="6">
        <v>0.09</v>
      </c>
      <c r="K34" s="6">
        <v>2.81</v>
      </c>
      <c r="L34" s="6">
        <v>57.85</v>
      </c>
      <c r="M34" s="6">
        <v>2.04</v>
      </c>
      <c r="N34" s="6">
        <v>63.79</v>
      </c>
      <c r="O34" s="6" t="s">
        <v>337</v>
      </c>
      <c r="P34" s="6">
        <v>0</v>
      </c>
    </row>
    <row r="35" spans="1:16" s="6" customFormat="1" x14ac:dyDescent="0.25">
      <c r="A35" s="6" t="s">
        <v>136</v>
      </c>
      <c r="B35" s="6" t="s">
        <v>277</v>
      </c>
      <c r="C35" s="6" t="s">
        <v>282</v>
      </c>
      <c r="D35" s="6" t="s">
        <v>283</v>
      </c>
      <c r="E35" s="6" t="s">
        <v>87</v>
      </c>
      <c r="F35" s="6">
        <v>33.898000000000003</v>
      </c>
      <c r="G35" s="6" t="s">
        <v>21</v>
      </c>
      <c r="H35" s="6">
        <v>1.71</v>
      </c>
      <c r="I35" s="6">
        <v>0</v>
      </c>
      <c r="J35" s="6">
        <v>7.0000000000000007E-2</v>
      </c>
      <c r="K35" s="6">
        <v>2.37</v>
      </c>
      <c r="L35" s="6">
        <v>57.97</v>
      </c>
      <c r="M35" s="6">
        <v>1.77</v>
      </c>
      <c r="N35" s="6">
        <v>60</v>
      </c>
      <c r="O35" s="6" t="s">
        <v>338</v>
      </c>
      <c r="P35" s="6">
        <v>0</v>
      </c>
    </row>
    <row r="36" spans="1:16" s="6" customFormat="1" x14ac:dyDescent="0.25">
      <c r="A36" s="6" t="s">
        <v>136</v>
      </c>
      <c r="B36" s="6" t="s">
        <v>300</v>
      </c>
      <c r="C36" s="6" t="s">
        <v>294</v>
      </c>
      <c r="D36" s="6" t="s">
        <v>295</v>
      </c>
      <c r="E36" s="6" t="s">
        <v>30</v>
      </c>
      <c r="F36" s="6">
        <v>30.466999999999899</v>
      </c>
      <c r="G36" s="6" t="s">
        <v>21</v>
      </c>
      <c r="H36" s="6">
        <v>1.44</v>
      </c>
      <c r="I36" s="6">
        <v>0</v>
      </c>
      <c r="J36" s="6">
        <v>0.03</v>
      </c>
      <c r="K36" s="6">
        <v>0.91</v>
      </c>
      <c r="L36" s="6">
        <v>43.87</v>
      </c>
      <c r="M36" s="6">
        <v>1.52</v>
      </c>
      <c r="N36" s="6">
        <v>46.31</v>
      </c>
      <c r="O36" s="6" t="s">
        <v>339</v>
      </c>
      <c r="P36" s="6">
        <v>0</v>
      </c>
    </row>
    <row r="37" spans="1:16" s="6" customFormat="1" x14ac:dyDescent="0.25">
      <c r="A37" s="6" t="s">
        <v>114</v>
      </c>
      <c r="B37" s="6" t="s">
        <v>173</v>
      </c>
      <c r="C37" s="6" t="s">
        <v>271</v>
      </c>
      <c r="D37" s="6" t="s">
        <v>272</v>
      </c>
      <c r="E37" s="6" t="s">
        <v>64</v>
      </c>
      <c r="F37" s="6">
        <v>80.259</v>
      </c>
      <c r="G37" s="6" t="s">
        <v>21</v>
      </c>
      <c r="H37" s="6">
        <v>1.85</v>
      </c>
      <c r="I37" s="6">
        <v>0</v>
      </c>
      <c r="J37" s="6">
        <v>0.09</v>
      </c>
      <c r="K37" s="6">
        <v>7.22</v>
      </c>
      <c r="L37" s="6">
        <v>148.47999999999999</v>
      </c>
      <c r="M37" s="6">
        <v>2.0499999999999998</v>
      </c>
      <c r="N37" s="6">
        <v>164.53</v>
      </c>
      <c r="O37" s="6" t="s">
        <v>340</v>
      </c>
      <c r="P37" s="6">
        <v>0</v>
      </c>
    </row>
    <row r="38" spans="1:16" s="6" customFormat="1" x14ac:dyDescent="0.25">
      <c r="A38" s="6" t="s">
        <v>141</v>
      </c>
      <c r="B38" s="6" t="s">
        <v>318</v>
      </c>
      <c r="C38" s="6" t="s">
        <v>294</v>
      </c>
      <c r="D38" s="6" t="s">
        <v>295</v>
      </c>
      <c r="E38" s="6" t="s">
        <v>30</v>
      </c>
      <c r="F38" s="6">
        <v>21.216999999999899</v>
      </c>
      <c r="G38" s="6" t="s">
        <v>21</v>
      </c>
      <c r="H38" s="6">
        <v>1.43</v>
      </c>
      <c r="I38" s="6">
        <v>0</v>
      </c>
      <c r="J38" s="6">
        <v>0.03</v>
      </c>
      <c r="K38" s="6">
        <v>0.64</v>
      </c>
      <c r="L38" s="6">
        <v>30.34</v>
      </c>
      <c r="M38" s="6">
        <v>1.52</v>
      </c>
      <c r="N38" s="6">
        <v>32.25</v>
      </c>
      <c r="O38" s="6" t="s">
        <v>341</v>
      </c>
      <c r="P38" s="6">
        <v>0</v>
      </c>
    </row>
    <row r="39" spans="1:16" s="6" customFormat="1" x14ac:dyDescent="0.25">
      <c r="A39" s="6" t="s">
        <v>141</v>
      </c>
      <c r="B39" s="6" t="s">
        <v>254</v>
      </c>
      <c r="C39" s="6" t="s">
        <v>290</v>
      </c>
      <c r="D39" s="6" t="s">
        <v>291</v>
      </c>
      <c r="E39" s="6" t="s">
        <v>30</v>
      </c>
      <c r="F39" s="6">
        <v>34.457000000000001</v>
      </c>
      <c r="G39" s="6" t="s">
        <v>21</v>
      </c>
      <c r="H39" s="6">
        <v>1.43</v>
      </c>
      <c r="I39" s="6">
        <v>0</v>
      </c>
      <c r="J39" s="6">
        <v>0.03</v>
      </c>
      <c r="K39" s="6">
        <v>1.03</v>
      </c>
      <c r="L39" s="6">
        <v>49.27</v>
      </c>
      <c r="M39" s="6">
        <v>1.51</v>
      </c>
      <c r="N39" s="6">
        <v>52.03</v>
      </c>
      <c r="O39" s="6" t="s">
        <v>342</v>
      </c>
      <c r="P39" s="6">
        <v>0</v>
      </c>
    </row>
    <row r="40" spans="1:16" s="6" customFormat="1" x14ac:dyDescent="0.25">
      <c r="A40" s="6" t="s">
        <v>141</v>
      </c>
      <c r="B40" s="6" t="s">
        <v>311</v>
      </c>
      <c r="C40" s="6" t="s">
        <v>278</v>
      </c>
      <c r="D40" s="6" t="s">
        <v>279</v>
      </c>
      <c r="E40" s="6" t="s">
        <v>87</v>
      </c>
      <c r="F40" s="6">
        <v>52.7899999999999</v>
      </c>
      <c r="G40" s="6" t="s">
        <v>21</v>
      </c>
      <c r="H40" s="6">
        <v>1.71</v>
      </c>
      <c r="I40" s="6">
        <v>0</v>
      </c>
      <c r="J40" s="6">
        <v>7.0000000000000007E-2</v>
      </c>
      <c r="K40" s="6">
        <v>3.7</v>
      </c>
      <c r="L40" s="6">
        <v>90.27</v>
      </c>
      <c r="M40" s="6">
        <v>1.76</v>
      </c>
      <c r="N40" s="6">
        <v>92.91</v>
      </c>
      <c r="O40" s="6" t="s">
        <v>343</v>
      </c>
      <c r="P40" s="6">
        <v>0</v>
      </c>
    </row>
    <row r="41" spans="1:16" s="6" customFormat="1" x14ac:dyDescent="0.25">
      <c r="A41" s="6" t="s">
        <v>141</v>
      </c>
      <c r="B41" s="6" t="s">
        <v>277</v>
      </c>
      <c r="C41" s="6" t="s">
        <v>274</v>
      </c>
      <c r="D41" s="6" t="s">
        <v>275</v>
      </c>
      <c r="E41" s="6" t="s">
        <v>64</v>
      </c>
      <c r="F41" s="6">
        <v>48.85</v>
      </c>
      <c r="G41" s="6" t="s">
        <v>21</v>
      </c>
      <c r="H41" s="6">
        <v>1.87</v>
      </c>
      <c r="I41" s="6">
        <v>0</v>
      </c>
      <c r="J41" s="6">
        <v>0.09</v>
      </c>
      <c r="K41" s="6">
        <v>4.4000000000000004</v>
      </c>
      <c r="L41" s="6">
        <v>91.35</v>
      </c>
      <c r="M41" s="6">
        <v>2.0699999999999998</v>
      </c>
      <c r="N41" s="6">
        <v>101.12</v>
      </c>
      <c r="O41" s="6" t="s">
        <v>344</v>
      </c>
      <c r="P41" s="6">
        <v>136666</v>
      </c>
    </row>
    <row r="42" spans="1:16" s="6" customFormat="1" x14ac:dyDescent="0.25">
      <c r="A42" s="6" t="s">
        <v>141</v>
      </c>
      <c r="B42" s="6" t="s">
        <v>277</v>
      </c>
      <c r="C42" s="6" t="s">
        <v>345</v>
      </c>
      <c r="D42" s="6" t="s">
        <v>346</v>
      </c>
      <c r="E42" s="6" t="s">
        <v>30</v>
      </c>
      <c r="F42" s="6">
        <v>17.849</v>
      </c>
      <c r="G42" s="6" t="s">
        <v>21</v>
      </c>
      <c r="H42" s="6">
        <v>1.43</v>
      </c>
      <c r="I42" s="6">
        <v>0</v>
      </c>
      <c r="J42" s="6">
        <v>0.03</v>
      </c>
      <c r="K42" s="6">
        <v>0.54</v>
      </c>
      <c r="L42" s="6">
        <v>25.52</v>
      </c>
      <c r="M42" s="6">
        <v>1.52</v>
      </c>
      <c r="N42" s="6">
        <v>27.13</v>
      </c>
      <c r="O42" s="6" t="s">
        <v>347</v>
      </c>
      <c r="P42" s="6">
        <v>0</v>
      </c>
    </row>
    <row r="43" spans="1:16" s="6" customFormat="1" x14ac:dyDescent="0.25">
      <c r="A43" s="6" t="s">
        <v>163</v>
      </c>
      <c r="B43" s="6" t="s">
        <v>205</v>
      </c>
      <c r="C43" s="6" t="s">
        <v>282</v>
      </c>
      <c r="D43" s="6" t="s">
        <v>283</v>
      </c>
      <c r="E43" s="6" t="s">
        <v>87</v>
      </c>
      <c r="F43" s="6">
        <v>26.027999999999899</v>
      </c>
      <c r="G43" s="6" t="s">
        <v>21</v>
      </c>
      <c r="H43" s="6">
        <v>1.71</v>
      </c>
      <c r="I43" s="6">
        <v>0</v>
      </c>
      <c r="J43" s="6">
        <v>7.0000000000000007E-2</v>
      </c>
      <c r="K43" s="6">
        <v>1.82</v>
      </c>
      <c r="L43" s="6">
        <v>44.51</v>
      </c>
      <c r="M43" s="6">
        <v>1.77</v>
      </c>
      <c r="N43" s="6">
        <v>46.07</v>
      </c>
      <c r="O43" s="6" t="s">
        <v>348</v>
      </c>
      <c r="P43" s="6">
        <v>0</v>
      </c>
    </row>
    <row r="44" spans="1:16" s="6" customFormat="1" x14ac:dyDescent="0.25">
      <c r="A44" s="6" t="s">
        <v>163</v>
      </c>
      <c r="B44" s="6" t="s">
        <v>277</v>
      </c>
      <c r="C44" s="6" t="s">
        <v>271</v>
      </c>
      <c r="D44" s="6" t="s">
        <v>272</v>
      </c>
      <c r="E44" s="6" t="s">
        <v>64</v>
      </c>
      <c r="F44" s="6">
        <v>29.652000000000001</v>
      </c>
      <c r="G44" s="6" t="s">
        <v>21</v>
      </c>
      <c r="H44" s="6">
        <v>1.87</v>
      </c>
      <c r="I44" s="6">
        <v>0</v>
      </c>
      <c r="J44" s="6">
        <v>0.09</v>
      </c>
      <c r="K44" s="6">
        <v>2.67</v>
      </c>
      <c r="L44" s="6">
        <v>55.45</v>
      </c>
      <c r="M44" s="6">
        <v>2.0699999999999998</v>
      </c>
      <c r="N44" s="6">
        <v>61.38</v>
      </c>
      <c r="O44" s="6" t="s">
        <v>349</v>
      </c>
      <c r="P44" s="6">
        <v>0</v>
      </c>
    </row>
    <row r="45" spans="1:16" s="6" customFormat="1" x14ac:dyDescent="0.25">
      <c r="A45" s="6" t="s">
        <v>72</v>
      </c>
      <c r="B45" s="6" t="s">
        <v>277</v>
      </c>
      <c r="C45" s="6" t="s">
        <v>297</v>
      </c>
      <c r="D45" s="6" t="s">
        <v>298</v>
      </c>
      <c r="E45" s="6" t="s">
        <v>87</v>
      </c>
      <c r="F45" s="6">
        <v>21.937999999999899</v>
      </c>
      <c r="G45" s="6" t="s">
        <v>21</v>
      </c>
      <c r="H45" s="6">
        <v>1.71</v>
      </c>
      <c r="I45" s="6">
        <v>0</v>
      </c>
      <c r="J45" s="6">
        <v>7.0000000000000007E-2</v>
      </c>
      <c r="K45" s="6">
        <v>1.54</v>
      </c>
      <c r="L45" s="6">
        <v>37.51</v>
      </c>
      <c r="M45" s="6">
        <v>1.77</v>
      </c>
      <c r="N45" s="6">
        <v>38.83</v>
      </c>
      <c r="O45" s="6" t="s">
        <v>228</v>
      </c>
      <c r="P45" s="6">
        <v>0</v>
      </c>
    </row>
    <row r="46" spans="1:16" s="6" customFormat="1" x14ac:dyDescent="0.25">
      <c r="A46" s="6" t="s">
        <v>77</v>
      </c>
      <c r="B46" s="6" t="s">
        <v>173</v>
      </c>
      <c r="C46" s="6" t="s">
        <v>286</v>
      </c>
      <c r="D46" s="6" t="s">
        <v>287</v>
      </c>
      <c r="E46" s="6" t="s">
        <v>87</v>
      </c>
      <c r="F46" s="6">
        <v>37.938000000000002</v>
      </c>
      <c r="G46" s="6" t="s">
        <v>21</v>
      </c>
      <c r="H46" s="6">
        <v>1.71</v>
      </c>
      <c r="I46" s="6">
        <v>0</v>
      </c>
      <c r="J46" s="6">
        <v>7.0000000000000007E-2</v>
      </c>
      <c r="K46" s="6">
        <v>2.66</v>
      </c>
      <c r="L46" s="6">
        <v>64.87</v>
      </c>
      <c r="M46" s="6">
        <v>1.76</v>
      </c>
      <c r="N46" s="6">
        <v>66.77</v>
      </c>
      <c r="O46" s="6" t="s">
        <v>350</v>
      </c>
      <c r="P46" s="6">
        <v>0</v>
      </c>
    </row>
    <row r="47" spans="1:16" s="6" customFormat="1" x14ac:dyDescent="0.25">
      <c r="A47" s="6" t="s">
        <v>77</v>
      </c>
      <c r="B47" s="6" t="s">
        <v>173</v>
      </c>
      <c r="C47" s="6" t="s">
        <v>286</v>
      </c>
      <c r="D47" s="6" t="s">
        <v>287</v>
      </c>
      <c r="E47" s="6" t="s">
        <v>351</v>
      </c>
      <c r="F47" s="6">
        <v>1</v>
      </c>
      <c r="G47" s="6" t="s">
        <v>210</v>
      </c>
      <c r="H47" s="6">
        <v>4.09</v>
      </c>
      <c r="I47" s="6">
        <v>0</v>
      </c>
      <c r="J47" s="6">
        <v>0</v>
      </c>
      <c r="L47" s="6">
        <v>4.09</v>
      </c>
      <c r="M47" s="6">
        <v>4.09</v>
      </c>
      <c r="N47" s="6">
        <v>4.09</v>
      </c>
      <c r="O47" s="6" t="s">
        <v>350</v>
      </c>
      <c r="P47" s="6">
        <v>0</v>
      </c>
    </row>
    <row r="48" spans="1:16" s="6" customFormat="1" x14ac:dyDescent="0.25">
      <c r="A48" s="6" t="s">
        <v>77</v>
      </c>
      <c r="B48" s="6" t="s">
        <v>242</v>
      </c>
      <c r="C48" s="6" t="s">
        <v>345</v>
      </c>
      <c r="D48" s="6" t="s">
        <v>346</v>
      </c>
      <c r="E48" s="6" t="s">
        <v>30</v>
      </c>
      <c r="F48" s="6">
        <v>37.848999999999897</v>
      </c>
      <c r="G48" s="6" t="s">
        <v>21</v>
      </c>
      <c r="H48" s="6">
        <v>1.43</v>
      </c>
      <c r="I48" s="6">
        <v>0</v>
      </c>
      <c r="J48" s="6">
        <v>0.03</v>
      </c>
      <c r="K48" s="6">
        <v>1.1399999999999999</v>
      </c>
      <c r="L48" s="6">
        <v>54.12</v>
      </c>
      <c r="M48" s="6">
        <v>1.52</v>
      </c>
      <c r="N48" s="6">
        <v>57.53</v>
      </c>
      <c r="O48" s="6" t="s">
        <v>352</v>
      </c>
      <c r="P48" s="6">
        <v>0</v>
      </c>
    </row>
    <row r="49" spans="1:16" s="6" customFormat="1" x14ac:dyDescent="0.25">
      <c r="A49" s="6" t="s">
        <v>243</v>
      </c>
      <c r="B49" s="6" t="s">
        <v>173</v>
      </c>
      <c r="C49" s="6" t="s">
        <v>286</v>
      </c>
      <c r="D49" s="6" t="s">
        <v>287</v>
      </c>
      <c r="E49" s="6" t="s">
        <v>87</v>
      </c>
      <c r="F49" s="6">
        <v>40</v>
      </c>
      <c r="G49" s="6" t="s">
        <v>21</v>
      </c>
      <c r="H49" s="6">
        <v>1.71</v>
      </c>
      <c r="I49" s="6">
        <v>0</v>
      </c>
      <c r="J49" s="6">
        <v>7.0000000000000007E-2</v>
      </c>
      <c r="K49" s="6">
        <v>2.8</v>
      </c>
      <c r="L49" s="6">
        <v>68.400000000000006</v>
      </c>
      <c r="M49" s="6">
        <v>1.76</v>
      </c>
      <c r="N49" s="6">
        <v>70.400000000000006</v>
      </c>
      <c r="O49" s="6" t="s">
        <v>338</v>
      </c>
      <c r="P49" s="6">
        <v>0</v>
      </c>
    </row>
    <row r="50" spans="1:16" s="6" customFormat="1" x14ac:dyDescent="0.25">
      <c r="A50" s="6" t="s">
        <v>145</v>
      </c>
      <c r="B50" s="6" t="s">
        <v>353</v>
      </c>
      <c r="C50" s="6" t="s">
        <v>282</v>
      </c>
      <c r="D50" s="6" t="s">
        <v>283</v>
      </c>
      <c r="E50" s="6" t="s">
        <v>87</v>
      </c>
      <c r="F50" s="6">
        <v>28.248999999999899</v>
      </c>
      <c r="G50" s="6" t="s">
        <v>21</v>
      </c>
      <c r="H50" s="6">
        <v>1.71</v>
      </c>
      <c r="I50" s="6">
        <v>0</v>
      </c>
      <c r="J50" s="6">
        <v>7.0000000000000007E-2</v>
      </c>
      <c r="K50" s="6">
        <v>1.98</v>
      </c>
      <c r="L50" s="6">
        <v>48.31</v>
      </c>
      <c r="M50" s="6">
        <v>1.77</v>
      </c>
      <c r="N50" s="6">
        <v>50</v>
      </c>
      <c r="O50" s="6" t="s">
        <v>354</v>
      </c>
      <c r="P50" s="6">
        <v>0</v>
      </c>
    </row>
    <row r="51" spans="1:16" s="6" customFormat="1" x14ac:dyDescent="0.25">
      <c r="A51" s="6" t="s">
        <v>145</v>
      </c>
      <c r="B51" s="6" t="s">
        <v>281</v>
      </c>
      <c r="C51" s="6" t="s">
        <v>286</v>
      </c>
      <c r="D51" s="6" t="s">
        <v>287</v>
      </c>
      <c r="E51" s="6" t="s">
        <v>87</v>
      </c>
      <c r="F51" s="6">
        <v>37.209000000000003</v>
      </c>
      <c r="G51" s="6" t="s">
        <v>21</v>
      </c>
      <c r="H51" s="6">
        <v>1.71</v>
      </c>
      <c r="I51" s="6">
        <v>0</v>
      </c>
      <c r="J51" s="6">
        <v>7.0000000000000007E-2</v>
      </c>
      <c r="K51" s="6">
        <v>2.6</v>
      </c>
      <c r="L51" s="6">
        <v>63.63</v>
      </c>
      <c r="M51" s="6">
        <v>1.77</v>
      </c>
      <c r="N51" s="6">
        <v>65.86</v>
      </c>
      <c r="O51" s="6" t="s">
        <v>355</v>
      </c>
      <c r="P51" s="6">
        <v>0</v>
      </c>
    </row>
    <row r="52" spans="1:16" s="6" customFormat="1" x14ac:dyDescent="0.25">
      <c r="A52" s="6" t="s">
        <v>82</v>
      </c>
      <c r="B52" s="6" t="s">
        <v>356</v>
      </c>
      <c r="C52" s="6" t="s">
        <v>297</v>
      </c>
      <c r="D52" s="6" t="s">
        <v>298</v>
      </c>
      <c r="E52" s="6" t="s">
        <v>87</v>
      </c>
      <c r="F52" s="6">
        <v>28.75</v>
      </c>
      <c r="G52" s="6" t="s">
        <v>21</v>
      </c>
      <c r="H52" s="6">
        <v>1.71</v>
      </c>
      <c r="I52" s="6">
        <v>0</v>
      </c>
      <c r="J52" s="6">
        <v>7.0000000000000007E-2</v>
      </c>
      <c r="K52" s="6">
        <v>2.0099999999999998</v>
      </c>
      <c r="L52" s="6">
        <v>49.16</v>
      </c>
      <c r="M52" s="6">
        <v>1.76</v>
      </c>
      <c r="N52" s="6">
        <v>50.6</v>
      </c>
      <c r="O52" s="6" t="s">
        <v>357</v>
      </c>
      <c r="P52" s="6">
        <v>0</v>
      </c>
    </row>
    <row r="53" spans="1:16" s="6" customFormat="1" x14ac:dyDescent="0.25">
      <c r="A53" s="6" t="s">
        <v>82</v>
      </c>
      <c r="B53" s="6" t="s">
        <v>313</v>
      </c>
      <c r="C53" s="6" t="s">
        <v>294</v>
      </c>
      <c r="D53" s="6" t="s">
        <v>295</v>
      </c>
      <c r="E53" s="6" t="s">
        <v>30</v>
      </c>
      <c r="F53" s="6">
        <v>19.553000000000001</v>
      </c>
      <c r="G53" s="6" t="s">
        <v>21</v>
      </c>
      <c r="H53" s="6">
        <v>1.42</v>
      </c>
      <c r="I53" s="6">
        <v>0</v>
      </c>
      <c r="J53" s="6">
        <v>0.03</v>
      </c>
      <c r="K53" s="6">
        <v>0.59</v>
      </c>
      <c r="L53" s="6">
        <v>27.77</v>
      </c>
      <c r="M53" s="6">
        <v>1.52</v>
      </c>
      <c r="N53" s="6">
        <v>29.72</v>
      </c>
      <c r="O53" s="6" t="s">
        <v>358</v>
      </c>
      <c r="P53" s="6">
        <v>0</v>
      </c>
    </row>
    <row r="54" spans="1:16" s="6" customFormat="1" x14ac:dyDescent="0.25">
      <c r="A54" s="6" t="s">
        <v>82</v>
      </c>
      <c r="B54" s="6" t="s">
        <v>313</v>
      </c>
      <c r="C54" s="6" t="s">
        <v>294</v>
      </c>
      <c r="D54" s="6" t="s">
        <v>295</v>
      </c>
      <c r="E54" s="6" t="s">
        <v>351</v>
      </c>
      <c r="F54" s="6">
        <v>1</v>
      </c>
      <c r="G54" s="6" t="s">
        <v>210</v>
      </c>
      <c r="H54" s="6">
        <v>4.34</v>
      </c>
      <c r="I54" s="6">
        <v>0</v>
      </c>
      <c r="J54" s="6">
        <v>0</v>
      </c>
      <c r="L54" s="6">
        <v>4.34</v>
      </c>
      <c r="M54" s="6">
        <v>4.34</v>
      </c>
      <c r="N54" s="6">
        <v>4.34</v>
      </c>
      <c r="O54" s="6" t="s">
        <v>358</v>
      </c>
      <c r="P54" s="6">
        <v>0</v>
      </c>
    </row>
    <row r="55" spans="1:16" s="6" customFormat="1" x14ac:dyDescent="0.25">
      <c r="A55" s="6" t="s">
        <v>82</v>
      </c>
      <c r="B55" s="6" t="s">
        <v>309</v>
      </c>
      <c r="C55" s="6" t="s">
        <v>294</v>
      </c>
      <c r="D55" s="6" t="s">
        <v>295</v>
      </c>
      <c r="E55" s="6" t="s">
        <v>30</v>
      </c>
      <c r="F55" s="6">
        <v>33.487000000000002</v>
      </c>
      <c r="G55" s="6" t="s">
        <v>21</v>
      </c>
      <c r="H55" s="6">
        <v>1.42</v>
      </c>
      <c r="I55" s="6">
        <v>0</v>
      </c>
      <c r="J55" s="6">
        <v>0.03</v>
      </c>
      <c r="K55" s="6">
        <v>1</v>
      </c>
      <c r="L55" s="6">
        <v>47.55</v>
      </c>
      <c r="M55" s="6">
        <v>1.52</v>
      </c>
      <c r="N55" s="6">
        <v>50.9</v>
      </c>
      <c r="O55" s="6" t="s">
        <v>359</v>
      </c>
      <c r="P55" s="6">
        <v>0</v>
      </c>
    </row>
    <row r="56" spans="1:16" s="6" customFormat="1" x14ac:dyDescent="0.25">
      <c r="A56" s="6" t="s">
        <v>82</v>
      </c>
      <c r="B56" s="6" t="s">
        <v>320</v>
      </c>
      <c r="C56" s="6" t="s">
        <v>321</v>
      </c>
      <c r="D56" s="6" t="s">
        <v>322</v>
      </c>
      <c r="E56" s="6" t="s">
        <v>30</v>
      </c>
      <c r="F56" s="6">
        <v>21.271999999999899</v>
      </c>
      <c r="G56" s="6" t="s">
        <v>21</v>
      </c>
      <c r="H56" s="6">
        <v>1.42</v>
      </c>
      <c r="I56" s="6">
        <v>0</v>
      </c>
      <c r="J56" s="6">
        <v>0.03</v>
      </c>
      <c r="K56" s="6">
        <v>0.64</v>
      </c>
      <c r="L56" s="6">
        <v>30.21</v>
      </c>
      <c r="M56" s="6">
        <v>1.51</v>
      </c>
      <c r="N56" s="6">
        <v>32.119999999999997</v>
      </c>
      <c r="O56" s="6" t="s">
        <v>360</v>
      </c>
      <c r="P56" s="6">
        <v>0</v>
      </c>
    </row>
    <row r="57" spans="1:16" s="6" customFormat="1" x14ac:dyDescent="0.25">
      <c r="A57" s="6" t="s">
        <v>82</v>
      </c>
      <c r="B57" s="6" t="s">
        <v>361</v>
      </c>
      <c r="C57" s="6" t="s">
        <v>329</v>
      </c>
      <c r="D57" s="6" t="s">
        <v>330</v>
      </c>
      <c r="E57" s="6" t="s">
        <v>87</v>
      </c>
      <c r="F57" s="6">
        <v>39.369</v>
      </c>
      <c r="G57" s="6" t="s">
        <v>21</v>
      </c>
      <c r="H57" s="6">
        <v>1.71</v>
      </c>
      <c r="I57" s="6">
        <v>0</v>
      </c>
      <c r="J57" s="6">
        <v>7.0000000000000007E-2</v>
      </c>
      <c r="K57" s="6">
        <v>2.76</v>
      </c>
      <c r="L57" s="6">
        <v>67.319999999999993</v>
      </c>
      <c r="M57" s="6">
        <v>1.76</v>
      </c>
      <c r="N57" s="6">
        <v>69.290000000000006</v>
      </c>
      <c r="O57" s="6" t="s">
        <v>362</v>
      </c>
      <c r="P57" s="6">
        <v>0</v>
      </c>
    </row>
    <row r="58" spans="1:16" s="6" customFormat="1" x14ac:dyDescent="0.25">
      <c r="A58" s="6" t="s">
        <v>82</v>
      </c>
      <c r="B58" s="6" t="s">
        <v>363</v>
      </c>
      <c r="C58" s="6" t="s">
        <v>345</v>
      </c>
      <c r="D58" s="6" t="s">
        <v>346</v>
      </c>
      <c r="E58" s="6" t="s">
        <v>30</v>
      </c>
      <c r="F58" s="6">
        <v>19.681999999999899</v>
      </c>
      <c r="G58" s="6" t="s">
        <v>21</v>
      </c>
      <c r="H58" s="6">
        <v>1.42</v>
      </c>
      <c r="I58" s="6">
        <v>0</v>
      </c>
      <c r="J58" s="6">
        <v>0.03</v>
      </c>
      <c r="K58" s="6">
        <v>0.59</v>
      </c>
      <c r="L58" s="6">
        <v>27.95</v>
      </c>
      <c r="M58" s="6">
        <v>1.51</v>
      </c>
      <c r="N58" s="6">
        <v>29.72</v>
      </c>
      <c r="O58" s="6" t="s">
        <v>364</v>
      </c>
      <c r="P58" s="6">
        <v>0</v>
      </c>
    </row>
    <row r="59" spans="1:16" s="6" customFormat="1" x14ac:dyDescent="0.25">
      <c r="A59" s="6" t="s">
        <v>82</v>
      </c>
      <c r="B59" s="6" t="s">
        <v>242</v>
      </c>
      <c r="C59" s="6" t="s">
        <v>290</v>
      </c>
      <c r="D59" s="6" t="s">
        <v>291</v>
      </c>
      <c r="E59" s="6" t="s">
        <v>30</v>
      </c>
      <c r="F59" s="6">
        <v>35.362000000000002</v>
      </c>
      <c r="G59" s="6" t="s">
        <v>21</v>
      </c>
      <c r="H59" s="6">
        <v>1.42</v>
      </c>
      <c r="I59" s="6">
        <v>0</v>
      </c>
      <c r="J59" s="6">
        <v>0.03</v>
      </c>
      <c r="K59" s="6">
        <v>1.06</v>
      </c>
      <c r="L59" s="6">
        <v>50.21</v>
      </c>
      <c r="M59" s="6">
        <v>1.52</v>
      </c>
      <c r="N59" s="6">
        <v>53.75</v>
      </c>
      <c r="O59" s="6" t="s">
        <v>365</v>
      </c>
      <c r="P59" s="6">
        <v>0</v>
      </c>
    </row>
    <row r="60" spans="1:16" s="6" customFormat="1" x14ac:dyDescent="0.25">
      <c r="A60" s="6" t="s">
        <v>82</v>
      </c>
      <c r="B60" s="6" t="s">
        <v>222</v>
      </c>
      <c r="C60" s="6" t="s">
        <v>278</v>
      </c>
      <c r="D60" s="6" t="s">
        <v>279</v>
      </c>
      <c r="E60" s="6" t="s">
        <v>87</v>
      </c>
      <c r="F60" s="6">
        <v>51.688000000000002</v>
      </c>
      <c r="G60" s="6" t="s">
        <v>21</v>
      </c>
      <c r="H60" s="6">
        <v>1.71</v>
      </c>
      <c r="I60" s="6">
        <v>0</v>
      </c>
      <c r="J60" s="6">
        <v>7.0000000000000007E-2</v>
      </c>
      <c r="K60" s="6">
        <v>3.62</v>
      </c>
      <c r="L60" s="6">
        <v>88.39</v>
      </c>
      <c r="M60" s="6">
        <v>1.76</v>
      </c>
      <c r="N60" s="6">
        <v>90.97</v>
      </c>
      <c r="O60" s="6" t="s">
        <v>366</v>
      </c>
      <c r="P60" s="6">
        <v>0</v>
      </c>
    </row>
    <row r="61" spans="1:16" s="6" customFormat="1" x14ac:dyDescent="0.25">
      <c r="A61" s="6" t="s">
        <v>82</v>
      </c>
      <c r="B61" s="6" t="s">
        <v>285</v>
      </c>
      <c r="C61" s="6" t="s">
        <v>286</v>
      </c>
      <c r="D61" s="6" t="s">
        <v>287</v>
      </c>
      <c r="E61" s="6" t="s">
        <v>87</v>
      </c>
      <c r="F61" s="6">
        <v>36.932000000000002</v>
      </c>
      <c r="G61" s="6" t="s">
        <v>21</v>
      </c>
      <c r="H61" s="6">
        <v>1.71</v>
      </c>
      <c r="I61" s="6">
        <v>0</v>
      </c>
      <c r="J61" s="6">
        <v>7.0000000000000007E-2</v>
      </c>
      <c r="K61" s="6">
        <v>2.59</v>
      </c>
      <c r="L61" s="6">
        <v>63.15</v>
      </c>
      <c r="M61" s="6">
        <v>1.76</v>
      </c>
      <c r="N61" s="6">
        <v>65</v>
      </c>
      <c r="O61" s="6" t="s">
        <v>367</v>
      </c>
      <c r="P61" s="6">
        <v>0</v>
      </c>
    </row>
    <row r="62" spans="1:16" s="6" customFormat="1" x14ac:dyDescent="0.25">
      <c r="A62" s="6" t="s">
        <v>82</v>
      </c>
      <c r="B62" s="6" t="s">
        <v>201</v>
      </c>
      <c r="C62" s="6" t="s">
        <v>274</v>
      </c>
      <c r="D62" s="6" t="s">
        <v>275</v>
      </c>
      <c r="E62" s="6" t="s">
        <v>20</v>
      </c>
      <c r="F62" s="6">
        <v>42.731000000000002</v>
      </c>
      <c r="G62" s="6" t="s">
        <v>21</v>
      </c>
      <c r="H62" s="6">
        <v>1.7</v>
      </c>
      <c r="I62" s="6">
        <v>0</v>
      </c>
      <c r="J62" s="6">
        <v>0.02</v>
      </c>
      <c r="K62" s="6">
        <v>0.85</v>
      </c>
      <c r="L62" s="6">
        <v>72.64</v>
      </c>
      <c r="M62" s="6">
        <v>1.82</v>
      </c>
      <c r="N62" s="6">
        <v>77.77</v>
      </c>
      <c r="O62" s="6" t="s">
        <v>368</v>
      </c>
      <c r="P62" s="6">
        <v>137137</v>
      </c>
    </row>
    <row r="63" spans="1:16" s="6" customFormat="1" x14ac:dyDescent="0.25">
      <c r="A63" s="6" t="s">
        <v>83</v>
      </c>
      <c r="B63" s="6" t="s">
        <v>369</v>
      </c>
      <c r="C63" s="6" t="s">
        <v>304</v>
      </c>
      <c r="D63" s="6" t="s">
        <v>305</v>
      </c>
      <c r="E63" s="6" t="s">
        <v>87</v>
      </c>
      <c r="F63" s="6">
        <v>22.358000000000001</v>
      </c>
      <c r="G63" s="6" t="s">
        <v>21</v>
      </c>
      <c r="H63" s="6">
        <v>1.71</v>
      </c>
      <c r="I63" s="6">
        <v>0</v>
      </c>
      <c r="J63" s="6">
        <v>7.0000000000000007E-2</v>
      </c>
      <c r="K63" s="6">
        <v>1.57</v>
      </c>
      <c r="L63" s="6">
        <v>38.229999999999997</v>
      </c>
      <c r="M63" s="6">
        <v>1.76</v>
      </c>
      <c r="N63" s="6">
        <v>39.35</v>
      </c>
      <c r="O63" s="6" t="s">
        <v>370</v>
      </c>
      <c r="P63" s="6">
        <v>0</v>
      </c>
    </row>
    <row r="64" spans="1:16" s="6" customFormat="1" x14ac:dyDescent="0.25">
      <c r="A64" s="6" t="s">
        <v>371</v>
      </c>
      <c r="B64" s="6" t="s">
        <v>205</v>
      </c>
      <c r="C64" s="6" t="s">
        <v>329</v>
      </c>
      <c r="D64" s="6" t="s">
        <v>330</v>
      </c>
      <c r="E64" s="6" t="s">
        <v>87</v>
      </c>
      <c r="F64" s="6">
        <v>21.712</v>
      </c>
      <c r="G64" s="6" t="s">
        <v>21</v>
      </c>
      <c r="H64" s="6">
        <v>1.71</v>
      </c>
      <c r="I64" s="6">
        <v>0</v>
      </c>
      <c r="J64" s="6">
        <v>7.0000000000000007E-2</v>
      </c>
      <c r="K64" s="6">
        <v>1.52</v>
      </c>
      <c r="L64" s="6">
        <v>37.130000000000003</v>
      </c>
      <c r="M64" s="6">
        <v>1.77</v>
      </c>
      <c r="N64" s="6">
        <v>38.43</v>
      </c>
      <c r="O64" s="6" t="s">
        <v>372</v>
      </c>
      <c r="P64" s="6">
        <v>0</v>
      </c>
    </row>
    <row r="65" spans="1:16" s="6" customFormat="1" x14ac:dyDescent="0.25">
      <c r="A65" s="6" t="s">
        <v>371</v>
      </c>
      <c r="B65" s="6" t="s">
        <v>207</v>
      </c>
      <c r="C65" s="6" t="s">
        <v>286</v>
      </c>
      <c r="D65" s="6" t="s">
        <v>287</v>
      </c>
      <c r="E65" s="6" t="s">
        <v>87</v>
      </c>
      <c r="F65" s="6">
        <v>39.198999999999899</v>
      </c>
      <c r="G65" s="6" t="s">
        <v>21</v>
      </c>
      <c r="H65" s="6">
        <v>1.71</v>
      </c>
      <c r="I65" s="6">
        <v>0</v>
      </c>
      <c r="J65" s="6">
        <v>7.0000000000000007E-2</v>
      </c>
      <c r="K65" s="6">
        <v>2.74</v>
      </c>
      <c r="L65" s="6">
        <v>67.03</v>
      </c>
      <c r="M65" s="6">
        <v>1.76</v>
      </c>
      <c r="N65" s="6">
        <v>68.989999999999995</v>
      </c>
      <c r="O65" s="6" t="s">
        <v>157</v>
      </c>
      <c r="P65" s="6">
        <v>0</v>
      </c>
    </row>
    <row r="66" spans="1:16" s="6" customFormat="1" x14ac:dyDescent="0.25">
      <c r="A66" s="6" t="s">
        <v>371</v>
      </c>
      <c r="B66" s="6" t="s">
        <v>173</v>
      </c>
      <c r="C66" s="6" t="s">
        <v>286</v>
      </c>
      <c r="D66" s="6" t="s">
        <v>287</v>
      </c>
      <c r="E66" s="6" t="s">
        <v>87</v>
      </c>
      <c r="F66" s="6">
        <v>46.42</v>
      </c>
      <c r="G66" s="6" t="s">
        <v>21</v>
      </c>
      <c r="H66" s="6">
        <v>1.71</v>
      </c>
      <c r="I66" s="6">
        <v>0</v>
      </c>
      <c r="J66" s="6">
        <v>7.0000000000000007E-2</v>
      </c>
      <c r="K66" s="6">
        <v>3.25</v>
      </c>
      <c r="L66" s="6">
        <v>79.38</v>
      </c>
      <c r="M66" s="6">
        <v>1.76</v>
      </c>
      <c r="N66" s="6">
        <v>81.7</v>
      </c>
      <c r="O66" s="6" t="s">
        <v>373</v>
      </c>
      <c r="P66" s="6">
        <v>0</v>
      </c>
    </row>
    <row r="67" spans="1:16" s="6" customFormat="1" x14ac:dyDescent="0.25">
      <c r="A67" s="6" t="s">
        <v>371</v>
      </c>
      <c r="B67" s="6" t="s">
        <v>173</v>
      </c>
      <c r="C67" s="6" t="s">
        <v>286</v>
      </c>
      <c r="D67" s="6" t="s">
        <v>287</v>
      </c>
      <c r="E67" s="6" t="s">
        <v>351</v>
      </c>
      <c r="F67" s="6">
        <v>1</v>
      </c>
      <c r="G67" s="6" t="s">
        <v>210</v>
      </c>
      <c r="H67" s="6">
        <v>4.09</v>
      </c>
      <c r="I67" s="6">
        <v>0</v>
      </c>
      <c r="J67" s="6">
        <v>0</v>
      </c>
      <c r="L67" s="6">
        <v>4.09</v>
      </c>
      <c r="M67" s="6">
        <v>4.09</v>
      </c>
      <c r="N67" s="6">
        <v>4.09</v>
      </c>
      <c r="O67" s="6" t="s">
        <v>373</v>
      </c>
      <c r="P67" s="6">
        <v>0</v>
      </c>
    </row>
    <row r="68" spans="1:16" s="6" customFormat="1" x14ac:dyDescent="0.25">
      <c r="A68" s="6" t="s">
        <v>371</v>
      </c>
      <c r="B68" s="6" t="s">
        <v>177</v>
      </c>
      <c r="C68" s="6" t="s">
        <v>278</v>
      </c>
      <c r="D68" s="6" t="s">
        <v>279</v>
      </c>
      <c r="E68" s="6" t="s">
        <v>87</v>
      </c>
      <c r="F68" s="6">
        <v>18.699000000000002</v>
      </c>
      <c r="G68" s="6" t="s">
        <v>21</v>
      </c>
      <c r="H68" s="6">
        <v>1.71</v>
      </c>
      <c r="I68" s="6">
        <v>0</v>
      </c>
      <c r="J68" s="6">
        <v>7.0000000000000007E-2</v>
      </c>
      <c r="K68" s="6">
        <v>1.31</v>
      </c>
      <c r="L68" s="6">
        <v>31.98</v>
      </c>
      <c r="M68" s="6">
        <v>1.76</v>
      </c>
      <c r="N68" s="6">
        <v>32.909999999999997</v>
      </c>
      <c r="O68" s="6" t="s">
        <v>374</v>
      </c>
      <c r="P68" s="6">
        <v>0</v>
      </c>
    </row>
    <row r="69" spans="1:16" s="6" customFormat="1" x14ac:dyDescent="0.25">
      <c r="A69" s="6" t="s">
        <v>371</v>
      </c>
      <c r="B69" s="6" t="s">
        <v>181</v>
      </c>
      <c r="C69" s="6" t="s">
        <v>282</v>
      </c>
      <c r="D69" s="6" t="s">
        <v>283</v>
      </c>
      <c r="E69" s="6" t="s">
        <v>87</v>
      </c>
      <c r="F69" s="6">
        <v>35.859000000000002</v>
      </c>
      <c r="G69" s="6" t="s">
        <v>21</v>
      </c>
      <c r="H69" s="6">
        <v>1.71</v>
      </c>
      <c r="I69" s="6">
        <v>0</v>
      </c>
      <c r="J69" s="6">
        <v>7.0000000000000007E-2</v>
      </c>
      <c r="K69" s="6">
        <v>2.5099999999999998</v>
      </c>
      <c r="L69" s="6">
        <v>61.32</v>
      </c>
      <c r="M69" s="6">
        <v>1.77</v>
      </c>
      <c r="N69" s="6">
        <v>63.47</v>
      </c>
      <c r="O69" s="6" t="s">
        <v>364</v>
      </c>
      <c r="P69" s="6">
        <v>0</v>
      </c>
    </row>
    <row r="70" spans="1:16" s="6" customFormat="1" x14ac:dyDescent="0.25">
      <c r="A70" s="6" t="s">
        <v>16</v>
      </c>
      <c r="B70" s="6" t="s">
        <v>173</v>
      </c>
      <c r="C70" s="6" t="s">
        <v>286</v>
      </c>
      <c r="D70" s="6" t="s">
        <v>287</v>
      </c>
      <c r="E70" s="6" t="s">
        <v>87</v>
      </c>
      <c r="F70" s="6">
        <v>43.46</v>
      </c>
      <c r="G70" s="6" t="s">
        <v>21</v>
      </c>
      <c r="H70" s="6">
        <v>1.71</v>
      </c>
      <c r="I70" s="6">
        <v>0</v>
      </c>
      <c r="J70" s="6">
        <v>7.0000000000000007E-2</v>
      </c>
      <c r="K70" s="6">
        <v>3.04</v>
      </c>
      <c r="L70" s="6">
        <v>74.319999999999993</v>
      </c>
      <c r="M70" s="6">
        <v>1.76</v>
      </c>
      <c r="N70" s="6">
        <v>76.489999999999995</v>
      </c>
      <c r="O70" s="6" t="s">
        <v>375</v>
      </c>
      <c r="P70" s="6">
        <v>0</v>
      </c>
    </row>
    <row r="71" spans="1:16" s="6" customFormat="1" x14ac:dyDescent="0.25">
      <c r="A71" s="6" t="s">
        <v>16</v>
      </c>
      <c r="B71" s="6" t="s">
        <v>173</v>
      </c>
      <c r="C71" s="6" t="s">
        <v>286</v>
      </c>
      <c r="D71" s="6" t="s">
        <v>287</v>
      </c>
      <c r="E71" s="6" t="s">
        <v>351</v>
      </c>
      <c r="F71" s="6">
        <v>1</v>
      </c>
      <c r="G71" s="6" t="s">
        <v>210</v>
      </c>
      <c r="H71" s="6">
        <v>4.09</v>
      </c>
      <c r="I71" s="6">
        <v>0</v>
      </c>
      <c r="J71" s="6">
        <v>0</v>
      </c>
      <c r="L71" s="6">
        <v>4.09</v>
      </c>
      <c r="M71" s="6">
        <v>4.09</v>
      </c>
      <c r="N71" s="6">
        <v>4.09</v>
      </c>
      <c r="O71" s="6" t="s">
        <v>375</v>
      </c>
      <c r="P71" s="6">
        <v>0</v>
      </c>
    </row>
    <row r="72" spans="1:16" s="6" customFormat="1" x14ac:dyDescent="0.25">
      <c r="A72" s="6" t="s">
        <v>151</v>
      </c>
      <c r="B72" s="6" t="s">
        <v>242</v>
      </c>
      <c r="C72" s="6" t="s">
        <v>274</v>
      </c>
      <c r="D72" s="6" t="s">
        <v>275</v>
      </c>
      <c r="E72" s="6" t="s">
        <v>20</v>
      </c>
      <c r="F72" s="6">
        <v>44.399999999999899</v>
      </c>
      <c r="G72" s="6" t="s">
        <v>21</v>
      </c>
      <c r="H72" s="6">
        <v>1.67</v>
      </c>
      <c r="I72" s="6">
        <v>0</v>
      </c>
      <c r="J72" s="6">
        <v>0.02</v>
      </c>
      <c r="K72" s="6">
        <v>0.89</v>
      </c>
      <c r="L72" s="6">
        <v>74.150000000000006</v>
      </c>
      <c r="M72" s="6">
        <v>1.8</v>
      </c>
      <c r="N72" s="6">
        <v>79.92</v>
      </c>
      <c r="O72" s="6" t="s">
        <v>376</v>
      </c>
      <c r="P72" s="6">
        <v>137800</v>
      </c>
    </row>
    <row r="73" spans="1:16" s="6" customFormat="1" x14ac:dyDescent="0.25">
      <c r="A73" s="6" t="s">
        <v>151</v>
      </c>
      <c r="B73" s="6" t="s">
        <v>242</v>
      </c>
      <c r="C73" s="6" t="s">
        <v>274</v>
      </c>
      <c r="D73" s="6" t="s">
        <v>275</v>
      </c>
      <c r="E73" s="6" t="s">
        <v>246</v>
      </c>
      <c r="F73" s="6">
        <v>1</v>
      </c>
      <c r="G73" s="6" t="s">
        <v>210</v>
      </c>
      <c r="H73" s="6">
        <v>26.83</v>
      </c>
      <c r="I73" s="6">
        <v>0</v>
      </c>
      <c r="J73" s="6">
        <v>0</v>
      </c>
      <c r="L73" s="6">
        <v>26.83</v>
      </c>
      <c r="M73" s="6">
        <v>26.83</v>
      </c>
      <c r="N73" s="6">
        <v>26.83</v>
      </c>
      <c r="O73" s="6" t="s">
        <v>376</v>
      </c>
      <c r="P73" s="6">
        <v>137800</v>
      </c>
    </row>
    <row r="74" spans="1:16" s="6" customFormat="1" x14ac:dyDescent="0.25">
      <c r="A74" s="6" t="s">
        <v>23</v>
      </c>
      <c r="B74" s="6" t="s">
        <v>173</v>
      </c>
      <c r="C74" s="6" t="s">
        <v>377</v>
      </c>
      <c r="D74" s="6" t="s">
        <v>378</v>
      </c>
      <c r="E74" s="6" t="s">
        <v>20</v>
      </c>
      <c r="F74" s="6">
        <v>43.860999999999898</v>
      </c>
      <c r="G74" s="6" t="s">
        <v>21</v>
      </c>
      <c r="H74" s="6">
        <v>1.67</v>
      </c>
      <c r="I74" s="6">
        <v>0</v>
      </c>
      <c r="J74" s="6">
        <v>0.02</v>
      </c>
      <c r="K74" s="6">
        <v>0.88</v>
      </c>
      <c r="L74" s="6">
        <v>73.25</v>
      </c>
      <c r="M74" s="6">
        <v>1.8</v>
      </c>
      <c r="N74" s="6">
        <v>78.95</v>
      </c>
      <c r="O74" s="6" t="s">
        <v>379</v>
      </c>
      <c r="P74" s="6">
        <v>0</v>
      </c>
    </row>
    <row r="75" spans="1:16" s="6" customFormat="1" x14ac:dyDescent="0.25">
      <c r="A75" s="6" t="s">
        <v>23</v>
      </c>
      <c r="B75" s="6" t="s">
        <v>311</v>
      </c>
      <c r="C75" s="6" t="s">
        <v>278</v>
      </c>
      <c r="D75" s="6" t="s">
        <v>279</v>
      </c>
      <c r="E75" s="6" t="s">
        <v>87</v>
      </c>
      <c r="F75" s="6">
        <v>25.75</v>
      </c>
      <c r="G75" s="6" t="s">
        <v>21</v>
      </c>
      <c r="H75" s="6">
        <v>1.71</v>
      </c>
      <c r="I75" s="6">
        <v>0</v>
      </c>
      <c r="J75" s="6">
        <v>7.0000000000000007E-2</v>
      </c>
      <c r="K75" s="6">
        <v>1.8</v>
      </c>
      <c r="L75" s="6">
        <v>44.03</v>
      </c>
      <c r="M75" s="6">
        <v>1.76</v>
      </c>
      <c r="N75" s="6">
        <v>45.32</v>
      </c>
      <c r="O75" s="6" t="s">
        <v>380</v>
      </c>
      <c r="P75" s="6">
        <v>0</v>
      </c>
    </row>
    <row r="76" spans="1:16" s="6" customFormat="1" x14ac:dyDescent="0.25">
      <c r="A76" s="6" t="s">
        <v>23</v>
      </c>
      <c r="B76" s="6" t="s">
        <v>311</v>
      </c>
      <c r="C76" s="6" t="s">
        <v>271</v>
      </c>
      <c r="D76" s="6" t="s">
        <v>272</v>
      </c>
      <c r="E76" s="6" t="s">
        <v>64</v>
      </c>
      <c r="F76" s="6">
        <v>52.6</v>
      </c>
      <c r="G76" s="6" t="s">
        <v>21</v>
      </c>
      <c r="H76" s="6">
        <v>1.87</v>
      </c>
      <c r="I76" s="6">
        <v>0</v>
      </c>
      <c r="J76" s="6">
        <v>0.09</v>
      </c>
      <c r="K76" s="6">
        <v>4.7300000000000004</v>
      </c>
      <c r="L76" s="6">
        <v>98.36</v>
      </c>
      <c r="M76" s="6">
        <v>2.0499999999999998</v>
      </c>
      <c r="N76" s="6">
        <v>107.83</v>
      </c>
      <c r="O76" s="6" t="s">
        <v>314</v>
      </c>
      <c r="P76" s="6">
        <v>0</v>
      </c>
    </row>
    <row r="77" spans="1:16" s="6" customFormat="1" x14ac:dyDescent="0.25">
      <c r="A77" s="6" t="s">
        <v>23</v>
      </c>
      <c r="B77" s="6" t="s">
        <v>303</v>
      </c>
      <c r="C77" s="6" t="s">
        <v>278</v>
      </c>
      <c r="D77" s="6" t="s">
        <v>279</v>
      </c>
      <c r="E77" s="6" t="s">
        <v>87</v>
      </c>
      <c r="F77" s="6">
        <v>12.689</v>
      </c>
      <c r="G77" s="6" t="s">
        <v>21</v>
      </c>
      <c r="H77" s="6">
        <v>1.71</v>
      </c>
      <c r="I77" s="6">
        <v>0</v>
      </c>
      <c r="J77" s="6">
        <v>7.0000000000000007E-2</v>
      </c>
      <c r="K77" s="6">
        <v>0.89</v>
      </c>
      <c r="L77" s="6">
        <v>21.7</v>
      </c>
      <c r="M77" s="6">
        <v>1.77</v>
      </c>
      <c r="N77" s="6">
        <v>22.46</v>
      </c>
      <c r="O77" s="6" t="s">
        <v>31</v>
      </c>
      <c r="P77" s="6">
        <v>0</v>
      </c>
    </row>
    <row r="78" spans="1:16" s="6" customFormat="1" x14ac:dyDescent="0.25">
      <c r="A78" s="6" t="s">
        <v>23</v>
      </c>
      <c r="B78" s="6" t="s">
        <v>300</v>
      </c>
      <c r="C78" s="6" t="s">
        <v>294</v>
      </c>
      <c r="D78" s="6" t="s">
        <v>295</v>
      </c>
      <c r="E78" s="6" t="s">
        <v>30</v>
      </c>
      <c r="F78" s="6">
        <v>9.23</v>
      </c>
      <c r="G78" s="6" t="s">
        <v>21</v>
      </c>
      <c r="H78" s="6">
        <v>1.42</v>
      </c>
      <c r="I78" s="6">
        <v>0</v>
      </c>
      <c r="J78" s="6">
        <v>0.03</v>
      </c>
      <c r="K78" s="6">
        <v>0.28000000000000003</v>
      </c>
      <c r="L78" s="6">
        <v>13.11</v>
      </c>
      <c r="M78" s="6">
        <v>1.52</v>
      </c>
      <c r="N78" s="6">
        <v>14.03</v>
      </c>
      <c r="O78" s="6" t="s">
        <v>381</v>
      </c>
      <c r="P78" s="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P10"/>
  <sheetViews>
    <sheetView workbookViewId="0">
      <selection activeCell="H20" sqref="H20"/>
    </sheetView>
  </sheetViews>
  <sheetFormatPr defaultRowHeight="15" x14ac:dyDescent="0.25"/>
  <cols>
    <col min="1" max="1" width="10.42578125" bestFit="1" customWidth="1"/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42</v>
      </c>
      <c r="B2" s="6" t="s">
        <v>293</v>
      </c>
      <c r="C2" s="6" t="s">
        <v>382</v>
      </c>
      <c r="D2" s="6" t="s">
        <v>383</v>
      </c>
      <c r="E2" s="6" t="s">
        <v>20</v>
      </c>
      <c r="F2" s="6">
        <v>48.058999999999898</v>
      </c>
      <c r="G2" s="6" t="s">
        <v>21</v>
      </c>
      <c r="H2" s="6">
        <v>1.65</v>
      </c>
      <c r="I2" s="6">
        <v>0</v>
      </c>
      <c r="J2" s="6">
        <v>0</v>
      </c>
      <c r="K2" s="6">
        <v>0.14000000000000001</v>
      </c>
      <c r="L2" s="6">
        <v>79.3</v>
      </c>
      <c r="M2" s="6">
        <v>1.69</v>
      </c>
      <c r="N2" s="6">
        <v>81.22</v>
      </c>
      <c r="O2" s="6" t="s">
        <v>384</v>
      </c>
      <c r="P2" s="6">
        <v>0</v>
      </c>
    </row>
    <row r="3" spans="1:16" s="6" customFormat="1" x14ac:dyDescent="0.25">
      <c r="A3" s="6" t="s">
        <v>51</v>
      </c>
      <c r="B3" s="6" t="s">
        <v>181</v>
      </c>
      <c r="C3" s="6" t="s">
        <v>382</v>
      </c>
      <c r="D3" s="6" t="s">
        <v>383</v>
      </c>
      <c r="E3" s="6" t="s">
        <v>20</v>
      </c>
      <c r="F3" s="6">
        <v>47.718000000000004</v>
      </c>
      <c r="G3" s="6" t="s">
        <v>21</v>
      </c>
      <c r="H3" s="6">
        <v>1.65</v>
      </c>
      <c r="I3" s="6">
        <v>0</v>
      </c>
      <c r="J3" s="6">
        <v>0</v>
      </c>
      <c r="K3" s="6">
        <v>0.14000000000000001</v>
      </c>
      <c r="L3" s="6">
        <v>78.73</v>
      </c>
      <c r="M3" s="6">
        <v>1.7</v>
      </c>
      <c r="N3" s="6">
        <v>81.12</v>
      </c>
      <c r="O3" s="6" t="s">
        <v>385</v>
      </c>
      <c r="P3" s="6">
        <v>0</v>
      </c>
    </row>
    <row r="4" spans="1:16" s="6" customFormat="1" x14ac:dyDescent="0.25">
      <c r="A4" s="6" t="s">
        <v>185</v>
      </c>
      <c r="B4" s="6" t="s">
        <v>386</v>
      </c>
      <c r="C4" s="6" t="s">
        <v>382</v>
      </c>
      <c r="D4" s="6" t="s">
        <v>383</v>
      </c>
      <c r="E4" s="6" t="s">
        <v>20</v>
      </c>
      <c r="F4" s="6">
        <v>20.46</v>
      </c>
      <c r="G4" s="6" t="s">
        <v>21</v>
      </c>
      <c r="H4" s="6">
        <v>1.73</v>
      </c>
      <c r="I4" s="6">
        <v>0</v>
      </c>
      <c r="J4" s="6">
        <v>0.01</v>
      </c>
      <c r="K4" s="6">
        <v>0.2</v>
      </c>
      <c r="L4" s="6">
        <v>35.4</v>
      </c>
      <c r="M4" s="6">
        <v>1.76</v>
      </c>
      <c r="N4" s="6">
        <v>36.01</v>
      </c>
      <c r="O4" s="6" t="s">
        <v>176</v>
      </c>
      <c r="P4" s="6">
        <v>0</v>
      </c>
    </row>
    <row r="5" spans="1:16" s="6" customFormat="1" x14ac:dyDescent="0.25">
      <c r="A5" s="6" t="s">
        <v>185</v>
      </c>
      <c r="B5" s="6" t="s">
        <v>201</v>
      </c>
      <c r="C5" s="6" t="s">
        <v>382</v>
      </c>
      <c r="D5" s="6" t="s">
        <v>383</v>
      </c>
      <c r="E5" s="6" t="s">
        <v>20</v>
      </c>
      <c r="F5" s="6">
        <v>39.023000000000003</v>
      </c>
      <c r="G5" s="6" t="s">
        <v>21</v>
      </c>
      <c r="H5" s="6">
        <v>1.73</v>
      </c>
      <c r="I5" s="6">
        <v>0</v>
      </c>
      <c r="J5" s="6">
        <v>0.01</v>
      </c>
      <c r="K5" s="6">
        <v>0.39</v>
      </c>
      <c r="L5" s="6">
        <v>67.510000000000005</v>
      </c>
      <c r="M5" s="6">
        <v>1.76</v>
      </c>
      <c r="N5" s="6">
        <v>68.680000000000007</v>
      </c>
      <c r="O5" s="6" t="s">
        <v>387</v>
      </c>
      <c r="P5" s="6">
        <v>0</v>
      </c>
    </row>
    <row r="6" spans="1:16" s="6" customFormat="1" x14ac:dyDescent="0.25">
      <c r="A6" s="6" t="s">
        <v>58</v>
      </c>
      <c r="B6" s="6" t="s">
        <v>285</v>
      </c>
      <c r="C6" s="6" t="s">
        <v>382</v>
      </c>
      <c r="D6" s="6" t="s">
        <v>383</v>
      </c>
      <c r="E6" s="6" t="s">
        <v>20</v>
      </c>
      <c r="F6" s="6">
        <v>46.682000000000002</v>
      </c>
      <c r="G6" s="6" t="s">
        <v>21</v>
      </c>
      <c r="H6" s="6">
        <v>1.73</v>
      </c>
      <c r="I6" s="6">
        <v>0</v>
      </c>
      <c r="J6" s="6">
        <v>0.01</v>
      </c>
      <c r="K6" s="6">
        <v>0.47</v>
      </c>
      <c r="L6" s="6">
        <v>80.760000000000005</v>
      </c>
      <c r="M6" s="6">
        <v>1.76</v>
      </c>
      <c r="N6" s="6">
        <v>82.16</v>
      </c>
      <c r="O6" s="6" t="s">
        <v>388</v>
      </c>
      <c r="P6" s="6">
        <v>0</v>
      </c>
    </row>
    <row r="7" spans="1:16" s="6" customFormat="1" x14ac:dyDescent="0.25">
      <c r="A7" s="6" t="s">
        <v>243</v>
      </c>
      <c r="B7" s="6" t="s">
        <v>173</v>
      </c>
      <c r="C7" s="6" t="s">
        <v>382</v>
      </c>
      <c r="D7" s="6" t="s">
        <v>383</v>
      </c>
      <c r="E7" s="6" t="s">
        <v>20</v>
      </c>
      <c r="F7" s="6">
        <v>50.06</v>
      </c>
      <c r="G7" s="6" t="s">
        <v>21</v>
      </c>
      <c r="H7" s="6">
        <v>1.72</v>
      </c>
      <c r="I7" s="6">
        <v>0</v>
      </c>
      <c r="J7" s="6">
        <v>0.02</v>
      </c>
      <c r="K7" s="6">
        <v>1</v>
      </c>
      <c r="L7" s="6">
        <v>86.1</v>
      </c>
      <c r="M7" s="6">
        <v>1.82</v>
      </c>
      <c r="N7" s="6">
        <v>91.11</v>
      </c>
      <c r="O7" s="6" t="s">
        <v>389</v>
      </c>
      <c r="P7" s="6">
        <v>0</v>
      </c>
    </row>
    <row r="8" spans="1:16" s="6" customFormat="1" x14ac:dyDescent="0.25">
      <c r="A8" s="6" t="s">
        <v>145</v>
      </c>
      <c r="B8" s="6" t="s">
        <v>293</v>
      </c>
      <c r="C8" s="6" t="s">
        <v>382</v>
      </c>
      <c r="D8" s="6" t="s">
        <v>383</v>
      </c>
      <c r="E8" s="6" t="s">
        <v>20</v>
      </c>
      <c r="F8" s="6">
        <v>39.429000000000002</v>
      </c>
      <c r="G8" s="6" t="s">
        <v>21</v>
      </c>
      <c r="H8" s="6">
        <v>1.72</v>
      </c>
      <c r="I8" s="6">
        <v>0</v>
      </c>
      <c r="J8" s="6">
        <v>0.02</v>
      </c>
      <c r="K8" s="6">
        <v>0.79</v>
      </c>
      <c r="L8" s="6">
        <v>67.819999999999993</v>
      </c>
      <c r="M8" s="6">
        <v>1.82</v>
      </c>
      <c r="N8" s="6">
        <v>71.760000000000005</v>
      </c>
      <c r="O8" s="6" t="s">
        <v>365</v>
      </c>
      <c r="P8" s="6">
        <v>0</v>
      </c>
    </row>
    <row r="9" spans="1:16" s="6" customFormat="1" x14ac:dyDescent="0.25">
      <c r="A9" s="6" t="s">
        <v>145</v>
      </c>
      <c r="B9" s="6" t="s">
        <v>217</v>
      </c>
      <c r="C9" s="6" t="s">
        <v>382</v>
      </c>
      <c r="D9" s="6" t="s">
        <v>383</v>
      </c>
      <c r="E9" s="6" t="s">
        <v>20</v>
      </c>
      <c r="F9" s="6">
        <v>43.9179999999999</v>
      </c>
      <c r="G9" s="6" t="s">
        <v>21</v>
      </c>
      <c r="H9" s="6">
        <v>1.72</v>
      </c>
      <c r="I9" s="6">
        <v>0</v>
      </c>
      <c r="J9" s="6">
        <v>0.02</v>
      </c>
      <c r="K9" s="6">
        <v>0.88</v>
      </c>
      <c r="L9" s="6">
        <v>75.540000000000006</v>
      </c>
      <c r="M9" s="6">
        <v>1.82</v>
      </c>
      <c r="N9" s="6">
        <v>79.930000000000007</v>
      </c>
      <c r="O9" s="6" t="s">
        <v>390</v>
      </c>
      <c r="P9" s="6">
        <v>0</v>
      </c>
    </row>
    <row r="10" spans="1:16" s="6" customFormat="1" x14ac:dyDescent="0.25">
      <c r="A10" s="6" t="s">
        <v>82</v>
      </c>
      <c r="B10" s="6" t="s">
        <v>173</v>
      </c>
      <c r="C10" s="6" t="s">
        <v>382</v>
      </c>
      <c r="D10" s="6" t="s">
        <v>383</v>
      </c>
      <c r="E10" s="6" t="s">
        <v>20</v>
      </c>
      <c r="F10" s="6">
        <v>29.9729999999999</v>
      </c>
      <c r="G10" s="6" t="s">
        <v>21</v>
      </c>
      <c r="H10" s="6">
        <v>1.7</v>
      </c>
      <c r="I10" s="6">
        <v>0</v>
      </c>
      <c r="J10" s="6">
        <v>0.02</v>
      </c>
      <c r="K10" s="6">
        <v>0.6</v>
      </c>
      <c r="L10" s="6">
        <v>50.95</v>
      </c>
      <c r="M10" s="6">
        <v>1.82</v>
      </c>
      <c r="N10" s="6">
        <v>54.55</v>
      </c>
      <c r="O10" s="6" t="s">
        <v>391</v>
      </c>
      <c r="P10" s="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P11"/>
  <sheetViews>
    <sheetView workbookViewId="0">
      <selection activeCell="A2" sqref="A2:XFD11"/>
    </sheetView>
  </sheetViews>
  <sheetFormatPr defaultRowHeight="15" x14ac:dyDescent="0.25"/>
  <cols>
    <col min="1" max="1" width="10.42578125" bestFit="1" customWidth="1"/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185</v>
      </c>
      <c r="B2" s="6" t="s">
        <v>242</v>
      </c>
      <c r="C2" s="6" t="s">
        <v>392</v>
      </c>
      <c r="D2" s="6" t="s">
        <v>393</v>
      </c>
      <c r="E2" s="6" t="s">
        <v>30</v>
      </c>
      <c r="F2" s="6">
        <v>29.013000000000002</v>
      </c>
      <c r="G2" s="6" t="s">
        <v>21</v>
      </c>
      <c r="H2" s="6">
        <v>1.43</v>
      </c>
      <c r="I2" s="6">
        <v>0</v>
      </c>
      <c r="J2" s="6">
        <v>0.03</v>
      </c>
      <c r="K2" s="6">
        <v>0.87</v>
      </c>
      <c r="L2" s="6">
        <v>41.49</v>
      </c>
      <c r="M2" s="6">
        <v>1.51</v>
      </c>
      <c r="N2" s="6">
        <v>43.81</v>
      </c>
      <c r="O2" s="6" t="s">
        <v>394</v>
      </c>
      <c r="P2" s="6">
        <v>0</v>
      </c>
    </row>
    <row r="3" spans="1:16" s="6" customFormat="1" x14ac:dyDescent="0.25">
      <c r="A3" s="6" t="s">
        <v>324</v>
      </c>
      <c r="B3" s="6" t="s">
        <v>207</v>
      </c>
      <c r="C3" s="6" t="s">
        <v>392</v>
      </c>
      <c r="D3" s="6" t="s">
        <v>393</v>
      </c>
      <c r="E3" s="6" t="s">
        <v>30</v>
      </c>
      <c r="F3" s="6">
        <v>21.992999999999899</v>
      </c>
      <c r="G3" s="6" t="s">
        <v>21</v>
      </c>
      <c r="H3" s="6">
        <v>1.43</v>
      </c>
      <c r="I3" s="6">
        <v>0</v>
      </c>
      <c r="J3" s="6">
        <v>0.03</v>
      </c>
      <c r="K3" s="6">
        <v>0.66</v>
      </c>
      <c r="L3" s="6">
        <v>31.45</v>
      </c>
      <c r="M3" s="6">
        <v>1.5</v>
      </c>
      <c r="N3" s="6">
        <v>32.99</v>
      </c>
      <c r="O3" s="6" t="s">
        <v>395</v>
      </c>
      <c r="P3" s="6">
        <v>0</v>
      </c>
    </row>
    <row r="4" spans="1:16" s="6" customFormat="1" x14ac:dyDescent="0.25">
      <c r="A4" s="6" t="s">
        <v>324</v>
      </c>
      <c r="B4" s="6" t="s">
        <v>353</v>
      </c>
      <c r="C4" s="6" t="s">
        <v>392</v>
      </c>
      <c r="D4" s="6" t="s">
        <v>393</v>
      </c>
      <c r="E4" s="6" t="s">
        <v>30</v>
      </c>
      <c r="F4" s="6">
        <v>15.901</v>
      </c>
      <c r="G4" s="6" t="s">
        <v>21</v>
      </c>
      <c r="H4" s="6">
        <v>1.43</v>
      </c>
      <c r="I4" s="6">
        <v>0</v>
      </c>
      <c r="J4" s="6">
        <v>0.03</v>
      </c>
      <c r="K4" s="6">
        <v>0.48</v>
      </c>
      <c r="L4" s="6">
        <v>22.74</v>
      </c>
      <c r="M4" s="6">
        <v>1.51</v>
      </c>
      <c r="N4" s="6">
        <v>24.01</v>
      </c>
      <c r="O4" s="6" t="s">
        <v>396</v>
      </c>
      <c r="P4" s="6">
        <v>0</v>
      </c>
    </row>
    <row r="5" spans="1:16" s="6" customFormat="1" x14ac:dyDescent="0.25">
      <c r="A5" s="6" t="s">
        <v>158</v>
      </c>
      <c r="B5" s="6" t="s">
        <v>205</v>
      </c>
      <c r="C5" s="6" t="s">
        <v>392</v>
      </c>
      <c r="D5" s="6" t="s">
        <v>393</v>
      </c>
      <c r="E5" s="6" t="s">
        <v>30</v>
      </c>
      <c r="F5" s="6">
        <v>22.789000000000001</v>
      </c>
      <c r="G5" s="6" t="s">
        <v>21</v>
      </c>
      <c r="H5" s="6">
        <v>1.44</v>
      </c>
      <c r="I5" s="6">
        <v>0</v>
      </c>
      <c r="J5" s="6">
        <v>0.03</v>
      </c>
      <c r="K5" s="6">
        <v>0.68</v>
      </c>
      <c r="L5" s="6">
        <v>32.82</v>
      </c>
      <c r="M5" s="6">
        <v>1.52</v>
      </c>
      <c r="N5" s="6">
        <v>34.64</v>
      </c>
      <c r="O5" s="6" t="s">
        <v>397</v>
      </c>
      <c r="P5" s="6">
        <v>0</v>
      </c>
    </row>
    <row r="6" spans="1:16" s="6" customFormat="1" x14ac:dyDescent="0.25">
      <c r="A6" s="6" t="s">
        <v>158</v>
      </c>
      <c r="B6" s="6" t="s">
        <v>207</v>
      </c>
      <c r="C6" s="6" t="s">
        <v>392</v>
      </c>
      <c r="D6" s="6" t="s">
        <v>393</v>
      </c>
      <c r="E6" s="6" t="s">
        <v>30</v>
      </c>
      <c r="F6" s="6">
        <v>12.603</v>
      </c>
      <c r="G6" s="6" t="s">
        <v>21</v>
      </c>
      <c r="H6" s="6">
        <v>1.44</v>
      </c>
      <c r="I6" s="6">
        <v>0</v>
      </c>
      <c r="J6" s="6">
        <v>0.03</v>
      </c>
      <c r="K6" s="6">
        <v>0.38</v>
      </c>
      <c r="L6" s="6">
        <v>18.149999999999999</v>
      </c>
      <c r="M6" s="6">
        <v>1.51</v>
      </c>
      <c r="N6" s="6">
        <v>19.03</v>
      </c>
      <c r="O6" s="6" t="s">
        <v>398</v>
      </c>
      <c r="P6" s="6">
        <v>0</v>
      </c>
    </row>
    <row r="7" spans="1:16" s="6" customFormat="1" x14ac:dyDescent="0.25">
      <c r="A7" s="6" t="s">
        <v>82</v>
      </c>
      <c r="B7" s="6" t="s">
        <v>173</v>
      </c>
      <c r="C7" s="6" t="s">
        <v>399</v>
      </c>
      <c r="D7" s="6" t="s">
        <v>400</v>
      </c>
      <c r="E7" s="6" t="s">
        <v>20</v>
      </c>
      <c r="F7" s="6">
        <v>13.769</v>
      </c>
      <c r="G7" s="6" t="s">
        <v>21</v>
      </c>
      <c r="H7" s="6">
        <v>1.7</v>
      </c>
      <c r="I7" s="6">
        <v>0</v>
      </c>
      <c r="J7" s="6">
        <v>0.02</v>
      </c>
      <c r="K7" s="6">
        <v>0.28000000000000003</v>
      </c>
      <c r="L7" s="6">
        <v>23.41</v>
      </c>
      <c r="M7" s="6">
        <v>1.82</v>
      </c>
      <c r="N7" s="6">
        <v>25.06</v>
      </c>
      <c r="O7" s="6" t="s">
        <v>401</v>
      </c>
      <c r="P7" s="6">
        <v>0</v>
      </c>
    </row>
    <row r="8" spans="1:16" s="6" customFormat="1" x14ac:dyDescent="0.25">
      <c r="A8" s="6" t="s">
        <v>83</v>
      </c>
      <c r="B8" s="6" t="s">
        <v>277</v>
      </c>
      <c r="C8" s="6" t="s">
        <v>392</v>
      </c>
      <c r="D8" s="6" t="s">
        <v>393</v>
      </c>
      <c r="E8" s="6" t="s">
        <v>30</v>
      </c>
      <c r="F8" s="6">
        <v>31.1969999999999</v>
      </c>
      <c r="G8" s="6" t="s">
        <v>21</v>
      </c>
      <c r="H8" s="6">
        <v>1.42</v>
      </c>
      <c r="I8" s="6">
        <v>0</v>
      </c>
      <c r="J8" s="6">
        <v>0.03</v>
      </c>
      <c r="K8" s="6">
        <v>0.94</v>
      </c>
      <c r="L8" s="6">
        <v>44.3</v>
      </c>
      <c r="M8" s="6">
        <v>1.52</v>
      </c>
      <c r="N8" s="6">
        <v>47.42</v>
      </c>
      <c r="O8" s="6" t="s">
        <v>402</v>
      </c>
      <c r="P8" s="6">
        <v>0</v>
      </c>
    </row>
    <row r="9" spans="1:16" s="6" customFormat="1" x14ac:dyDescent="0.25">
      <c r="A9" s="6" t="s">
        <v>23</v>
      </c>
      <c r="B9" s="6" t="s">
        <v>403</v>
      </c>
      <c r="C9" s="6" t="s">
        <v>404</v>
      </c>
      <c r="D9" s="6" t="s">
        <v>405</v>
      </c>
      <c r="E9" s="6" t="s">
        <v>20</v>
      </c>
      <c r="F9" s="6">
        <v>23.863</v>
      </c>
      <c r="G9" s="6" t="s">
        <v>21</v>
      </c>
      <c r="H9" s="6">
        <v>1.67</v>
      </c>
      <c r="I9" s="6">
        <v>0</v>
      </c>
      <c r="J9" s="6">
        <v>0.02</v>
      </c>
      <c r="K9" s="6">
        <v>0.48</v>
      </c>
      <c r="L9" s="6">
        <v>39.85</v>
      </c>
      <c r="M9" s="6">
        <v>1.82</v>
      </c>
      <c r="N9" s="6">
        <v>43.43</v>
      </c>
      <c r="O9" s="6" t="s">
        <v>406</v>
      </c>
      <c r="P9" s="6">
        <v>0</v>
      </c>
    </row>
    <row r="10" spans="1:16" s="6" customFormat="1" x14ac:dyDescent="0.25">
      <c r="A10" s="6" t="s">
        <v>23</v>
      </c>
      <c r="B10" s="6" t="s">
        <v>207</v>
      </c>
      <c r="C10" s="6" t="s">
        <v>392</v>
      </c>
      <c r="D10" s="6" t="s">
        <v>393</v>
      </c>
      <c r="E10" s="6" t="s">
        <v>30</v>
      </c>
      <c r="F10" s="6">
        <v>11.0329999999999</v>
      </c>
      <c r="G10" s="6" t="s">
        <v>21</v>
      </c>
      <c r="H10" s="6">
        <v>1.42</v>
      </c>
      <c r="I10" s="6">
        <v>0</v>
      </c>
      <c r="J10" s="6">
        <v>0.03</v>
      </c>
      <c r="K10" s="6">
        <v>0.33</v>
      </c>
      <c r="L10" s="6">
        <v>15.67</v>
      </c>
      <c r="M10" s="6">
        <v>1.51</v>
      </c>
      <c r="N10" s="6">
        <v>16.66</v>
      </c>
      <c r="O10" s="6" t="s">
        <v>407</v>
      </c>
      <c r="P10" s="6">
        <v>0</v>
      </c>
    </row>
    <row r="11" spans="1:16" s="6" customFormat="1" x14ac:dyDescent="0.25">
      <c r="A11" s="6" t="s">
        <v>23</v>
      </c>
      <c r="B11" s="6" t="s">
        <v>281</v>
      </c>
      <c r="C11" s="6" t="s">
        <v>392</v>
      </c>
      <c r="D11" s="6" t="s">
        <v>393</v>
      </c>
      <c r="E11" s="6" t="s">
        <v>30</v>
      </c>
      <c r="F11" s="6">
        <v>29.236999999999899</v>
      </c>
      <c r="G11" s="6" t="s">
        <v>21</v>
      </c>
      <c r="H11" s="6">
        <v>1.42</v>
      </c>
      <c r="I11" s="6">
        <v>0</v>
      </c>
      <c r="J11" s="6">
        <v>0.03</v>
      </c>
      <c r="K11" s="6">
        <v>0.88</v>
      </c>
      <c r="L11" s="6">
        <v>41.52</v>
      </c>
      <c r="M11" s="6">
        <v>1.52</v>
      </c>
      <c r="N11" s="6">
        <v>44.44</v>
      </c>
      <c r="O11" s="6" t="s">
        <v>100</v>
      </c>
      <c r="P11" s="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P4"/>
  <sheetViews>
    <sheetView workbookViewId="0">
      <selection activeCell="A2" sqref="A2:XFD4"/>
    </sheetView>
  </sheetViews>
  <sheetFormatPr defaultRowHeight="15" x14ac:dyDescent="0.25"/>
  <cols>
    <col min="1" max="1" width="10.42578125" bestFit="1" customWidth="1"/>
    <col min="5" max="5" width="4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111</v>
      </c>
      <c r="B2" s="6" t="s">
        <v>173</v>
      </c>
      <c r="C2" s="6" t="s">
        <v>408</v>
      </c>
      <c r="D2" s="6" t="s">
        <v>409</v>
      </c>
      <c r="E2" s="6" t="s">
        <v>64</v>
      </c>
      <c r="F2" s="6">
        <v>66</v>
      </c>
      <c r="G2" s="6" t="s">
        <v>21</v>
      </c>
      <c r="H2" s="6">
        <v>1.81</v>
      </c>
      <c r="I2" s="6">
        <v>0</v>
      </c>
      <c r="J2" s="6">
        <v>0.09</v>
      </c>
      <c r="K2" s="6">
        <v>5.94</v>
      </c>
      <c r="L2" s="6">
        <v>119.46</v>
      </c>
      <c r="M2" s="6">
        <v>2.02</v>
      </c>
      <c r="N2" s="6">
        <v>133.32</v>
      </c>
      <c r="O2" s="6" t="s">
        <v>410</v>
      </c>
      <c r="P2" s="6">
        <v>0</v>
      </c>
    </row>
    <row r="3" spans="1:16" s="6" customFormat="1" x14ac:dyDescent="0.25">
      <c r="A3" s="6" t="s">
        <v>86</v>
      </c>
      <c r="B3" s="6" t="s">
        <v>201</v>
      </c>
      <c r="C3" s="6" t="s">
        <v>408</v>
      </c>
      <c r="D3" s="6" t="s">
        <v>409</v>
      </c>
      <c r="E3" s="6" t="s">
        <v>64</v>
      </c>
      <c r="F3" s="6">
        <v>66.078000000000003</v>
      </c>
      <c r="G3" s="6" t="s">
        <v>21</v>
      </c>
      <c r="H3" s="6">
        <v>1.87</v>
      </c>
      <c r="I3" s="6">
        <v>0</v>
      </c>
      <c r="J3" s="6">
        <v>0.09</v>
      </c>
      <c r="K3" s="6">
        <v>5.95</v>
      </c>
      <c r="L3" s="6">
        <v>123.57</v>
      </c>
      <c r="M3" s="6">
        <v>2.06</v>
      </c>
      <c r="N3" s="6">
        <v>136.12</v>
      </c>
      <c r="O3" s="6" t="s">
        <v>411</v>
      </c>
      <c r="P3" s="6">
        <v>0</v>
      </c>
    </row>
    <row r="4" spans="1:16" s="6" customFormat="1" x14ac:dyDescent="0.25">
      <c r="A4" s="6" t="s">
        <v>86</v>
      </c>
      <c r="B4" s="6" t="s">
        <v>201</v>
      </c>
      <c r="C4" s="6" t="s">
        <v>408</v>
      </c>
      <c r="D4" s="6" t="s">
        <v>409</v>
      </c>
      <c r="E4" s="6" t="s">
        <v>209</v>
      </c>
      <c r="F4" s="6">
        <v>1</v>
      </c>
      <c r="G4" s="6" t="s">
        <v>210</v>
      </c>
      <c r="H4" s="6">
        <v>8.99</v>
      </c>
      <c r="I4" s="6">
        <v>0</v>
      </c>
      <c r="J4" s="6">
        <v>0</v>
      </c>
      <c r="L4" s="6">
        <v>8.99</v>
      </c>
      <c r="M4" s="6">
        <v>8.99</v>
      </c>
      <c r="N4" s="6">
        <v>8.99</v>
      </c>
      <c r="O4" s="6" t="s">
        <v>411</v>
      </c>
      <c r="P4" s="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4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51</v>
      </c>
      <c r="B2" t="s">
        <v>300</v>
      </c>
      <c r="C2" t="s">
        <v>412</v>
      </c>
      <c r="D2" t="s">
        <v>413</v>
      </c>
      <c r="E2" t="s">
        <v>20</v>
      </c>
      <c r="F2">
        <v>24.841000000000001</v>
      </c>
      <c r="G2" t="s">
        <v>21</v>
      </c>
      <c r="H2">
        <v>1.7</v>
      </c>
      <c r="I2">
        <v>0</v>
      </c>
      <c r="J2">
        <v>0</v>
      </c>
      <c r="L2">
        <v>42.23</v>
      </c>
      <c r="M2">
        <v>1.7</v>
      </c>
      <c r="N2">
        <v>42.23</v>
      </c>
      <c r="O2" t="s">
        <v>414</v>
      </c>
      <c r="P2">
        <v>0</v>
      </c>
    </row>
    <row r="3" spans="1:16" x14ac:dyDescent="0.25">
      <c r="A3" t="s">
        <v>56</v>
      </c>
      <c r="B3" t="s">
        <v>309</v>
      </c>
      <c r="C3" t="s">
        <v>415</v>
      </c>
      <c r="D3" t="s">
        <v>416</v>
      </c>
      <c r="E3" t="s">
        <v>30</v>
      </c>
      <c r="F3">
        <v>19.207999999999899</v>
      </c>
      <c r="G3" t="s">
        <v>21</v>
      </c>
      <c r="H3">
        <v>1.49</v>
      </c>
      <c r="I3">
        <v>0</v>
      </c>
      <c r="J3">
        <v>0</v>
      </c>
      <c r="L3">
        <v>28.62</v>
      </c>
      <c r="M3">
        <v>1.49</v>
      </c>
      <c r="N3">
        <v>28.62</v>
      </c>
      <c r="O3" t="s">
        <v>417</v>
      </c>
      <c r="P3">
        <v>0</v>
      </c>
    </row>
    <row r="4" spans="1:16" x14ac:dyDescent="0.25">
      <c r="A4" t="s">
        <v>56</v>
      </c>
      <c r="B4" t="s">
        <v>17</v>
      </c>
      <c r="C4" t="s">
        <v>418</v>
      </c>
      <c r="D4" t="s">
        <v>419</v>
      </c>
      <c r="E4" t="s">
        <v>20</v>
      </c>
      <c r="F4">
        <v>36.517000000000003</v>
      </c>
      <c r="G4" t="s">
        <v>21</v>
      </c>
      <c r="H4">
        <v>1.72</v>
      </c>
      <c r="I4">
        <v>0</v>
      </c>
      <c r="J4">
        <v>0</v>
      </c>
      <c r="L4">
        <v>62.81</v>
      </c>
      <c r="M4">
        <v>1.72</v>
      </c>
      <c r="N4">
        <v>62.81</v>
      </c>
      <c r="O4" t="s">
        <v>61</v>
      </c>
      <c r="P4">
        <v>0</v>
      </c>
    </row>
    <row r="5" spans="1:16" x14ac:dyDescent="0.25">
      <c r="A5" t="s">
        <v>56</v>
      </c>
      <c r="B5" t="s">
        <v>17</v>
      </c>
      <c r="C5" t="s">
        <v>418</v>
      </c>
      <c r="D5" t="s">
        <v>419</v>
      </c>
      <c r="E5" t="s">
        <v>20</v>
      </c>
      <c r="F5">
        <v>19.948</v>
      </c>
      <c r="G5" t="s">
        <v>21</v>
      </c>
      <c r="H5">
        <v>1.72</v>
      </c>
      <c r="I5">
        <v>0</v>
      </c>
      <c r="J5">
        <v>0</v>
      </c>
      <c r="L5">
        <v>34.31</v>
      </c>
      <c r="M5">
        <v>1.72</v>
      </c>
      <c r="N5">
        <v>34.31</v>
      </c>
      <c r="O5" t="s">
        <v>420</v>
      </c>
      <c r="P5">
        <v>0</v>
      </c>
    </row>
    <row r="6" spans="1:16" x14ac:dyDescent="0.25">
      <c r="A6" t="s">
        <v>56</v>
      </c>
      <c r="B6" t="s">
        <v>421</v>
      </c>
      <c r="C6" t="s">
        <v>422</v>
      </c>
      <c r="D6" t="s">
        <v>423</v>
      </c>
      <c r="E6" t="s">
        <v>20</v>
      </c>
      <c r="F6">
        <v>39.64</v>
      </c>
      <c r="G6" t="s">
        <v>21</v>
      </c>
      <c r="H6">
        <v>1.72</v>
      </c>
      <c r="I6">
        <v>0</v>
      </c>
      <c r="J6">
        <v>0</v>
      </c>
      <c r="L6">
        <v>68.180000000000007</v>
      </c>
      <c r="M6">
        <v>1.72</v>
      </c>
      <c r="N6">
        <v>68.180000000000007</v>
      </c>
      <c r="O6" t="s">
        <v>338</v>
      </c>
      <c r="P6">
        <v>0</v>
      </c>
    </row>
    <row r="7" spans="1:16" x14ac:dyDescent="0.25">
      <c r="A7" t="s">
        <v>56</v>
      </c>
      <c r="B7" t="s">
        <v>300</v>
      </c>
      <c r="C7" t="s">
        <v>424</v>
      </c>
      <c r="D7" t="s">
        <v>425</v>
      </c>
      <c r="E7" t="s">
        <v>30</v>
      </c>
      <c r="F7">
        <v>38.792000000000002</v>
      </c>
      <c r="G7" t="s">
        <v>21</v>
      </c>
      <c r="H7">
        <v>1.49</v>
      </c>
      <c r="I7">
        <v>0</v>
      </c>
      <c r="J7">
        <v>0</v>
      </c>
      <c r="L7">
        <v>57.8</v>
      </c>
      <c r="M7">
        <v>1.49</v>
      </c>
      <c r="N7">
        <v>57.8</v>
      </c>
      <c r="O7" t="s">
        <v>113</v>
      </c>
      <c r="P7">
        <v>0</v>
      </c>
    </row>
    <row r="8" spans="1:16" x14ac:dyDescent="0.25">
      <c r="A8" t="s">
        <v>56</v>
      </c>
      <c r="B8" t="s">
        <v>300</v>
      </c>
      <c r="C8" t="s">
        <v>424</v>
      </c>
      <c r="D8" t="s">
        <v>425</v>
      </c>
      <c r="E8" t="s">
        <v>426</v>
      </c>
      <c r="F8">
        <v>1</v>
      </c>
      <c r="G8" t="s">
        <v>210</v>
      </c>
      <c r="H8">
        <v>22.39</v>
      </c>
      <c r="I8">
        <v>0</v>
      </c>
      <c r="J8">
        <v>0</v>
      </c>
      <c r="L8">
        <v>22.39</v>
      </c>
      <c r="M8">
        <v>22.39</v>
      </c>
      <c r="N8">
        <v>22.39</v>
      </c>
      <c r="O8" t="s">
        <v>113</v>
      </c>
      <c r="P8">
        <v>0</v>
      </c>
    </row>
    <row r="9" spans="1:16" x14ac:dyDescent="0.25">
      <c r="A9" t="s">
        <v>427</v>
      </c>
      <c r="B9" t="s">
        <v>242</v>
      </c>
      <c r="C9" t="s">
        <v>428</v>
      </c>
      <c r="D9" t="s">
        <v>429</v>
      </c>
      <c r="E9" t="s">
        <v>37</v>
      </c>
      <c r="F9">
        <v>36.5429999999999</v>
      </c>
      <c r="G9" t="s">
        <v>21</v>
      </c>
      <c r="H9">
        <v>0.81</v>
      </c>
      <c r="I9">
        <v>0</v>
      </c>
      <c r="J9">
        <v>0</v>
      </c>
      <c r="L9">
        <v>29.6</v>
      </c>
      <c r="M9">
        <v>0.81</v>
      </c>
      <c r="N9">
        <v>29.6</v>
      </c>
      <c r="O9" t="s">
        <v>430</v>
      </c>
      <c r="P9">
        <v>0</v>
      </c>
    </row>
    <row r="10" spans="1:16" x14ac:dyDescent="0.25">
      <c r="A10" t="s">
        <v>185</v>
      </c>
      <c r="B10" t="s">
        <v>431</v>
      </c>
      <c r="C10" t="s">
        <v>432</v>
      </c>
      <c r="D10" t="s">
        <v>433</v>
      </c>
      <c r="E10" t="s">
        <v>20</v>
      </c>
      <c r="F10">
        <v>43.432000000000002</v>
      </c>
      <c r="G10" t="s">
        <v>21</v>
      </c>
      <c r="H10">
        <v>1.72</v>
      </c>
      <c r="I10">
        <v>0</v>
      </c>
      <c r="J10">
        <v>0</v>
      </c>
      <c r="K10">
        <v>-0.17</v>
      </c>
      <c r="L10">
        <v>74.7</v>
      </c>
      <c r="M10">
        <v>1.76</v>
      </c>
      <c r="N10">
        <v>76.44</v>
      </c>
      <c r="O10" t="s">
        <v>176</v>
      </c>
      <c r="P10">
        <v>0</v>
      </c>
    </row>
    <row r="11" spans="1:16" x14ac:dyDescent="0.25">
      <c r="A11" t="s">
        <v>185</v>
      </c>
      <c r="B11" t="s">
        <v>17</v>
      </c>
      <c r="C11" t="s">
        <v>418</v>
      </c>
      <c r="D11" t="s">
        <v>419</v>
      </c>
      <c r="E11" t="s">
        <v>20</v>
      </c>
      <c r="F11">
        <v>48.892000000000003</v>
      </c>
      <c r="G11" t="s">
        <v>21</v>
      </c>
      <c r="H11">
        <v>1.72</v>
      </c>
      <c r="I11">
        <v>0</v>
      </c>
      <c r="J11">
        <v>0</v>
      </c>
      <c r="K11">
        <v>-0.2</v>
      </c>
      <c r="L11">
        <v>84.09</v>
      </c>
      <c r="M11">
        <v>1.76</v>
      </c>
      <c r="N11">
        <v>86.05</v>
      </c>
      <c r="O11" t="s">
        <v>251</v>
      </c>
      <c r="P11">
        <v>0</v>
      </c>
    </row>
    <row r="12" spans="1:16" x14ac:dyDescent="0.25">
      <c r="A12" t="s">
        <v>185</v>
      </c>
      <c r="B12" t="s">
        <v>277</v>
      </c>
      <c r="C12" t="s">
        <v>424</v>
      </c>
      <c r="D12" t="s">
        <v>425</v>
      </c>
      <c r="E12" t="s">
        <v>20</v>
      </c>
      <c r="F12">
        <v>23.277999999999899</v>
      </c>
      <c r="G12" t="s">
        <v>21</v>
      </c>
      <c r="H12">
        <v>1.72</v>
      </c>
      <c r="I12">
        <v>0</v>
      </c>
      <c r="J12">
        <v>0</v>
      </c>
      <c r="K12">
        <v>-0.09</v>
      </c>
      <c r="L12">
        <v>40.04</v>
      </c>
      <c r="M12">
        <v>1.76</v>
      </c>
      <c r="N12">
        <v>40.97</v>
      </c>
      <c r="O12" t="s">
        <v>411</v>
      </c>
      <c r="P12">
        <v>0</v>
      </c>
    </row>
    <row r="13" spans="1:16" x14ac:dyDescent="0.25">
      <c r="A13" t="s">
        <v>66</v>
      </c>
      <c r="B13" t="s">
        <v>277</v>
      </c>
      <c r="C13" t="s">
        <v>424</v>
      </c>
      <c r="D13" t="s">
        <v>425</v>
      </c>
      <c r="E13" t="s">
        <v>20</v>
      </c>
      <c r="F13">
        <v>44.598999999999897</v>
      </c>
      <c r="G13" t="s">
        <v>21</v>
      </c>
      <c r="H13">
        <v>1.71</v>
      </c>
      <c r="I13">
        <v>0</v>
      </c>
      <c r="J13">
        <v>0</v>
      </c>
      <c r="K13">
        <v>-0.18</v>
      </c>
      <c r="L13">
        <v>76.260000000000005</v>
      </c>
      <c r="M13">
        <v>1.77</v>
      </c>
      <c r="N13">
        <v>78.94</v>
      </c>
      <c r="O13" t="s">
        <v>434</v>
      </c>
      <c r="P13">
        <v>0</v>
      </c>
    </row>
    <row r="14" spans="1:16" x14ac:dyDescent="0.25">
      <c r="A14" t="s">
        <v>324</v>
      </c>
      <c r="B14" t="s">
        <v>242</v>
      </c>
      <c r="C14" t="s">
        <v>428</v>
      </c>
      <c r="D14" t="s">
        <v>429</v>
      </c>
      <c r="E14" t="s">
        <v>37</v>
      </c>
      <c r="F14">
        <v>37.444000000000003</v>
      </c>
      <c r="G14" t="s">
        <v>21</v>
      </c>
      <c r="H14">
        <v>0.81</v>
      </c>
      <c r="I14">
        <v>0</v>
      </c>
      <c r="J14">
        <v>0</v>
      </c>
      <c r="L14">
        <v>30.33</v>
      </c>
      <c r="M14">
        <v>0.81</v>
      </c>
      <c r="N14">
        <v>30.33</v>
      </c>
      <c r="O14" t="s">
        <v>435</v>
      </c>
      <c r="P14">
        <v>0</v>
      </c>
    </row>
    <row r="15" spans="1:16" x14ac:dyDescent="0.25">
      <c r="A15" t="s">
        <v>332</v>
      </c>
      <c r="B15" t="s">
        <v>309</v>
      </c>
      <c r="C15" t="s">
        <v>436</v>
      </c>
      <c r="D15" t="s">
        <v>437</v>
      </c>
      <c r="E15" t="s">
        <v>30</v>
      </c>
      <c r="F15">
        <v>28.315999999999899</v>
      </c>
      <c r="G15" t="s">
        <v>21</v>
      </c>
      <c r="H15">
        <v>1.4</v>
      </c>
      <c r="I15">
        <v>0</v>
      </c>
      <c r="J15">
        <v>0</v>
      </c>
      <c r="K15">
        <v>0.03</v>
      </c>
      <c r="L15">
        <v>39.64</v>
      </c>
      <c r="M15">
        <v>1.52</v>
      </c>
      <c r="N15">
        <v>43.04</v>
      </c>
      <c r="O15" t="s">
        <v>438</v>
      </c>
      <c r="P15">
        <v>0</v>
      </c>
    </row>
    <row r="16" spans="1:16" x14ac:dyDescent="0.25">
      <c r="A16" t="s">
        <v>134</v>
      </c>
      <c r="B16" t="s">
        <v>24</v>
      </c>
      <c r="C16" t="s">
        <v>439</v>
      </c>
      <c r="D16" t="s">
        <v>440</v>
      </c>
      <c r="E16" t="s">
        <v>64</v>
      </c>
      <c r="F16">
        <v>49.460999999999899</v>
      </c>
      <c r="G16" t="s">
        <v>21</v>
      </c>
      <c r="H16">
        <v>1.75</v>
      </c>
      <c r="I16">
        <v>0</v>
      </c>
      <c r="J16">
        <v>0</v>
      </c>
      <c r="K16">
        <v>-0.2</v>
      </c>
      <c r="L16">
        <v>86.56</v>
      </c>
      <c r="M16">
        <v>2.04</v>
      </c>
      <c r="N16">
        <v>100.9</v>
      </c>
      <c r="O16" t="s">
        <v>441</v>
      </c>
      <c r="P16">
        <v>0</v>
      </c>
    </row>
    <row r="17" spans="1:16" x14ac:dyDescent="0.25">
      <c r="A17" t="s">
        <v>134</v>
      </c>
      <c r="B17" t="s">
        <v>361</v>
      </c>
      <c r="C17" t="s">
        <v>428</v>
      </c>
      <c r="D17" t="s">
        <v>429</v>
      </c>
      <c r="E17" t="s">
        <v>30</v>
      </c>
      <c r="F17">
        <v>25.297999999999899</v>
      </c>
      <c r="G17" t="s">
        <v>21</v>
      </c>
      <c r="H17">
        <v>1.4</v>
      </c>
      <c r="I17">
        <v>0</v>
      </c>
      <c r="J17">
        <v>0</v>
      </c>
      <c r="K17">
        <v>0.03</v>
      </c>
      <c r="L17">
        <v>35.42</v>
      </c>
      <c r="M17">
        <v>1.51</v>
      </c>
      <c r="N17">
        <v>38.200000000000003</v>
      </c>
      <c r="O17" t="s">
        <v>442</v>
      </c>
      <c r="P17">
        <v>0</v>
      </c>
    </row>
    <row r="18" spans="1:16" x14ac:dyDescent="0.25">
      <c r="A18" t="s">
        <v>134</v>
      </c>
      <c r="B18" t="s">
        <v>361</v>
      </c>
      <c r="C18" t="s">
        <v>428</v>
      </c>
      <c r="D18" t="s">
        <v>429</v>
      </c>
      <c r="E18" t="s">
        <v>351</v>
      </c>
      <c r="F18">
        <v>1</v>
      </c>
      <c r="G18" t="s">
        <v>210</v>
      </c>
      <c r="H18">
        <v>4.34</v>
      </c>
      <c r="I18">
        <v>0</v>
      </c>
      <c r="J18">
        <v>0</v>
      </c>
      <c r="L18">
        <v>4.34</v>
      </c>
      <c r="M18">
        <v>4.34</v>
      </c>
      <c r="N18">
        <v>4.34</v>
      </c>
      <c r="O18" t="s">
        <v>442</v>
      </c>
      <c r="P18">
        <v>0</v>
      </c>
    </row>
    <row r="19" spans="1:16" x14ac:dyDescent="0.25">
      <c r="A19" t="s">
        <v>158</v>
      </c>
      <c r="B19" t="s">
        <v>363</v>
      </c>
      <c r="C19" t="s">
        <v>443</v>
      </c>
      <c r="D19" t="s">
        <v>444</v>
      </c>
      <c r="E19" t="s">
        <v>37</v>
      </c>
      <c r="F19">
        <v>13.195</v>
      </c>
      <c r="G19" t="s">
        <v>21</v>
      </c>
      <c r="H19">
        <v>0.82</v>
      </c>
      <c r="I19">
        <v>0</v>
      </c>
      <c r="J19">
        <v>0</v>
      </c>
      <c r="L19">
        <v>10.82</v>
      </c>
      <c r="M19">
        <v>0.82</v>
      </c>
      <c r="N19">
        <v>10.82</v>
      </c>
      <c r="O19" t="s">
        <v>33</v>
      </c>
      <c r="P19">
        <v>0</v>
      </c>
    </row>
    <row r="20" spans="1:16" x14ac:dyDescent="0.25">
      <c r="A20" t="s">
        <v>136</v>
      </c>
      <c r="B20" t="s">
        <v>445</v>
      </c>
      <c r="C20" t="s">
        <v>418</v>
      </c>
      <c r="D20" t="s">
        <v>419</v>
      </c>
      <c r="E20" t="s">
        <v>20</v>
      </c>
      <c r="F20">
        <v>52.128</v>
      </c>
      <c r="G20" t="s">
        <v>21</v>
      </c>
      <c r="H20">
        <v>1.74</v>
      </c>
      <c r="I20">
        <v>0</v>
      </c>
      <c r="J20">
        <v>0</v>
      </c>
      <c r="K20">
        <v>0.21</v>
      </c>
      <c r="L20">
        <v>90.7</v>
      </c>
      <c r="M20">
        <v>1.8</v>
      </c>
      <c r="N20">
        <v>93.83</v>
      </c>
      <c r="O20" t="s">
        <v>446</v>
      </c>
      <c r="P20">
        <v>0</v>
      </c>
    </row>
    <row r="21" spans="1:16" x14ac:dyDescent="0.25">
      <c r="A21" t="s">
        <v>114</v>
      </c>
      <c r="B21" t="s">
        <v>300</v>
      </c>
      <c r="C21" t="s">
        <v>424</v>
      </c>
      <c r="D21" t="s">
        <v>425</v>
      </c>
      <c r="E21" t="s">
        <v>20</v>
      </c>
      <c r="F21">
        <v>47.601999999999897</v>
      </c>
      <c r="G21" t="s">
        <v>21</v>
      </c>
      <c r="H21">
        <v>1.74</v>
      </c>
      <c r="I21">
        <v>0</v>
      </c>
      <c r="J21">
        <v>0</v>
      </c>
      <c r="K21">
        <v>0.19</v>
      </c>
      <c r="L21">
        <v>82.83</v>
      </c>
      <c r="M21">
        <v>1.81</v>
      </c>
      <c r="N21">
        <v>86.16</v>
      </c>
      <c r="O21" t="s">
        <v>447</v>
      </c>
      <c r="P21">
        <v>0</v>
      </c>
    </row>
    <row r="22" spans="1:16" x14ac:dyDescent="0.25">
      <c r="A22" t="s">
        <v>141</v>
      </c>
      <c r="B22" t="s">
        <v>445</v>
      </c>
      <c r="C22" t="s">
        <v>428</v>
      </c>
      <c r="D22" t="s">
        <v>429</v>
      </c>
      <c r="E22" t="s">
        <v>37</v>
      </c>
      <c r="F22">
        <v>31.3249999999999</v>
      </c>
      <c r="G22" t="s">
        <v>21</v>
      </c>
      <c r="H22">
        <v>0.83</v>
      </c>
      <c r="I22">
        <v>0</v>
      </c>
      <c r="J22">
        <v>0</v>
      </c>
      <c r="L22">
        <v>26</v>
      </c>
      <c r="M22">
        <v>0.83</v>
      </c>
      <c r="N22">
        <v>26</v>
      </c>
      <c r="O22" t="s">
        <v>448</v>
      </c>
      <c r="P22">
        <v>0</v>
      </c>
    </row>
    <row r="23" spans="1:16" x14ac:dyDescent="0.25">
      <c r="A23" t="s">
        <v>449</v>
      </c>
      <c r="B23" t="s">
        <v>277</v>
      </c>
      <c r="C23" t="s">
        <v>422</v>
      </c>
      <c r="D23" t="s">
        <v>423</v>
      </c>
      <c r="E23" t="s">
        <v>20</v>
      </c>
      <c r="F23">
        <v>36.731000000000002</v>
      </c>
      <c r="G23" t="s">
        <v>21</v>
      </c>
      <c r="H23">
        <v>1.73</v>
      </c>
      <c r="I23">
        <v>0</v>
      </c>
      <c r="J23">
        <v>0</v>
      </c>
      <c r="K23">
        <v>7.0000000000000007E-2</v>
      </c>
      <c r="L23">
        <v>63.54</v>
      </c>
      <c r="M23">
        <v>1.82</v>
      </c>
      <c r="N23">
        <v>66.849999999999994</v>
      </c>
      <c r="O23" t="s">
        <v>338</v>
      </c>
      <c r="P23">
        <v>0</v>
      </c>
    </row>
    <row r="24" spans="1:16" x14ac:dyDescent="0.25">
      <c r="A24" t="s">
        <v>163</v>
      </c>
      <c r="B24" t="s">
        <v>84</v>
      </c>
      <c r="C24" t="s">
        <v>443</v>
      </c>
      <c r="D24" t="s">
        <v>444</v>
      </c>
      <c r="E24" t="s">
        <v>37</v>
      </c>
      <c r="F24">
        <v>17.082999999999899</v>
      </c>
      <c r="G24" t="s">
        <v>21</v>
      </c>
      <c r="H24">
        <v>0.84</v>
      </c>
      <c r="I24">
        <v>0</v>
      </c>
      <c r="J24">
        <v>0</v>
      </c>
      <c r="L24">
        <v>14.35</v>
      </c>
      <c r="M24">
        <v>0.84</v>
      </c>
      <c r="N24">
        <v>14.35</v>
      </c>
      <c r="O24" t="s">
        <v>450</v>
      </c>
      <c r="P24">
        <v>0</v>
      </c>
    </row>
    <row r="25" spans="1:16" x14ac:dyDescent="0.25">
      <c r="A25" t="s">
        <v>72</v>
      </c>
      <c r="B25" t="s">
        <v>361</v>
      </c>
      <c r="C25" t="s">
        <v>428</v>
      </c>
      <c r="D25" t="s">
        <v>429</v>
      </c>
      <c r="E25" t="s">
        <v>37</v>
      </c>
      <c r="F25">
        <v>39.012</v>
      </c>
      <c r="G25" t="s">
        <v>21</v>
      </c>
      <c r="H25">
        <v>0.83</v>
      </c>
      <c r="I25">
        <v>0</v>
      </c>
      <c r="J25">
        <v>0</v>
      </c>
      <c r="L25">
        <v>32.380000000000003</v>
      </c>
      <c r="M25">
        <v>0.83</v>
      </c>
      <c r="N25">
        <v>32.380000000000003</v>
      </c>
      <c r="O25" t="s">
        <v>451</v>
      </c>
      <c r="P25">
        <v>0</v>
      </c>
    </row>
    <row r="26" spans="1:16" x14ac:dyDescent="0.25">
      <c r="A26" t="s">
        <v>72</v>
      </c>
      <c r="B26" t="s">
        <v>103</v>
      </c>
      <c r="C26" t="s">
        <v>418</v>
      </c>
      <c r="D26" t="s">
        <v>419</v>
      </c>
      <c r="E26" t="s">
        <v>20</v>
      </c>
      <c r="F26">
        <v>56.521999999999899</v>
      </c>
      <c r="G26" t="s">
        <v>21</v>
      </c>
      <c r="H26">
        <v>1.71</v>
      </c>
      <c r="I26">
        <v>0</v>
      </c>
      <c r="J26">
        <v>0</v>
      </c>
      <c r="K26">
        <v>0.23</v>
      </c>
      <c r="L26">
        <v>96.65</v>
      </c>
      <c r="M26">
        <v>1.82</v>
      </c>
      <c r="N26">
        <v>102.87</v>
      </c>
      <c r="O26" t="s">
        <v>452</v>
      </c>
      <c r="P26">
        <v>0</v>
      </c>
    </row>
    <row r="27" spans="1:16" x14ac:dyDescent="0.25">
      <c r="A27" t="s">
        <v>72</v>
      </c>
      <c r="B27" t="s">
        <v>300</v>
      </c>
      <c r="C27" t="s">
        <v>424</v>
      </c>
      <c r="D27" t="s">
        <v>425</v>
      </c>
      <c r="E27" t="s">
        <v>20</v>
      </c>
      <c r="F27">
        <v>51.1099999999999</v>
      </c>
      <c r="G27" t="s">
        <v>21</v>
      </c>
      <c r="H27">
        <v>1.71</v>
      </c>
      <c r="I27">
        <v>0</v>
      </c>
      <c r="J27">
        <v>0</v>
      </c>
      <c r="K27">
        <v>0.2</v>
      </c>
      <c r="L27">
        <v>87.4</v>
      </c>
      <c r="M27">
        <v>1.82</v>
      </c>
      <c r="N27">
        <v>93.02</v>
      </c>
      <c r="O27" t="s">
        <v>453</v>
      </c>
      <c r="P27">
        <v>0</v>
      </c>
    </row>
    <row r="28" spans="1:16" x14ac:dyDescent="0.25">
      <c r="A28" t="s">
        <v>145</v>
      </c>
      <c r="B28" t="s">
        <v>454</v>
      </c>
      <c r="C28" t="s">
        <v>432</v>
      </c>
      <c r="D28" t="s">
        <v>433</v>
      </c>
      <c r="E28" t="s">
        <v>20</v>
      </c>
      <c r="F28">
        <v>36.790999999999897</v>
      </c>
      <c r="G28" t="s">
        <v>21</v>
      </c>
      <c r="H28">
        <v>1.7</v>
      </c>
      <c r="I28">
        <v>0</v>
      </c>
      <c r="J28">
        <v>0</v>
      </c>
      <c r="K28">
        <v>7.0000000000000007E-2</v>
      </c>
      <c r="L28">
        <v>62.54</v>
      </c>
      <c r="M28">
        <v>1.82</v>
      </c>
      <c r="N28">
        <v>66.959999999999994</v>
      </c>
      <c r="O28" t="s">
        <v>455</v>
      </c>
      <c r="P28">
        <v>0</v>
      </c>
    </row>
    <row r="29" spans="1:16" x14ac:dyDescent="0.25">
      <c r="A29" t="s">
        <v>145</v>
      </c>
      <c r="B29" t="s">
        <v>17</v>
      </c>
      <c r="C29" t="s">
        <v>439</v>
      </c>
      <c r="D29" t="s">
        <v>440</v>
      </c>
      <c r="E29" t="s">
        <v>37</v>
      </c>
      <c r="F29">
        <v>29.916</v>
      </c>
      <c r="G29" t="s">
        <v>21</v>
      </c>
      <c r="H29">
        <v>0.83</v>
      </c>
      <c r="I29">
        <v>0</v>
      </c>
      <c r="J29">
        <v>0</v>
      </c>
      <c r="L29">
        <v>24.83</v>
      </c>
      <c r="M29">
        <v>0.83</v>
      </c>
      <c r="N29">
        <v>24.83</v>
      </c>
      <c r="O29" t="s">
        <v>76</v>
      </c>
      <c r="P29">
        <v>0</v>
      </c>
    </row>
    <row r="30" spans="1:16" x14ac:dyDescent="0.25">
      <c r="A30" t="s">
        <v>145</v>
      </c>
      <c r="B30" t="s">
        <v>17</v>
      </c>
      <c r="C30" t="s">
        <v>439</v>
      </c>
      <c r="D30" t="s">
        <v>440</v>
      </c>
      <c r="E30" t="s">
        <v>37</v>
      </c>
      <c r="F30">
        <v>19.3249999999999</v>
      </c>
      <c r="G30" t="s">
        <v>21</v>
      </c>
      <c r="H30">
        <v>0.83</v>
      </c>
      <c r="I30">
        <v>0</v>
      </c>
      <c r="J30">
        <v>0</v>
      </c>
      <c r="L30">
        <v>16.04</v>
      </c>
      <c r="M30">
        <v>0.83</v>
      </c>
      <c r="N30">
        <v>16.04</v>
      </c>
      <c r="O30" t="s">
        <v>446</v>
      </c>
      <c r="P30">
        <v>0</v>
      </c>
    </row>
    <row r="31" spans="1:16" x14ac:dyDescent="0.25">
      <c r="A31" t="s">
        <v>145</v>
      </c>
      <c r="B31" t="s">
        <v>32</v>
      </c>
      <c r="C31" t="s">
        <v>439</v>
      </c>
      <c r="D31" t="s">
        <v>440</v>
      </c>
      <c r="E31" t="s">
        <v>37</v>
      </c>
      <c r="F31">
        <v>26.446000000000002</v>
      </c>
      <c r="G31" t="s">
        <v>21</v>
      </c>
      <c r="H31">
        <v>0.83</v>
      </c>
      <c r="I31">
        <v>0</v>
      </c>
      <c r="J31">
        <v>0</v>
      </c>
      <c r="L31">
        <v>21.95</v>
      </c>
      <c r="M31">
        <v>0.83</v>
      </c>
      <c r="N31">
        <v>21.95</v>
      </c>
      <c r="O31" t="s">
        <v>380</v>
      </c>
      <c r="P31">
        <v>0</v>
      </c>
    </row>
    <row r="32" spans="1:16" x14ac:dyDescent="0.25">
      <c r="A32" t="s">
        <v>145</v>
      </c>
      <c r="B32" t="s">
        <v>32</v>
      </c>
      <c r="C32" t="s">
        <v>439</v>
      </c>
      <c r="D32" t="s">
        <v>440</v>
      </c>
      <c r="E32" t="s">
        <v>30</v>
      </c>
      <c r="F32">
        <v>5</v>
      </c>
      <c r="G32" t="s">
        <v>21</v>
      </c>
      <c r="H32">
        <v>1.4</v>
      </c>
      <c r="I32">
        <v>0</v>
      </c>
      <c r="J32">
        <v>0</v>
      </c>
      <c r="K32">
        <v>0</v>
      </c>
      <c r="L32">
        <v>7</v>
      </c>
      <c r="M32">
        <v>1.51</v>
      </c>
      <c r="N32">
        <v>7.55</v>
      </c>
      <c r="O32" t="s">
        <v>456</v>
      </c>
      <c r="P32">
        <v>0</v>
      </c>
    </row>
    <row r="33" spans="1:16" x14ac:dyDescent="0.25">
      <c r="A33" t="s">
        <v>145</v>
      </c>
      <c r="B33" t="s">
        <v>32</v>
      </c>
      <c r="C33" t="s">
        <v>439</v>
      </c>
      <c r="D33" t="s">
        <v>440</v>
      </c>
      <c r="E33" t="s">
        <v>37</v>
      </c>
      <c r="F33">
        <v>19.7349999999999</v>
      </c>
      <c r="G33" t="s">
        <v>21</v>
      </c>
      <c r="H33">
        <v>0.83</v>
      </c>
      <c r="I33">
        <v>0</v>
      </c>
      <c r="J33">
        <v>0</v>
      </c>
      <c r="L33">
        <v>16.38</v>
      </c>
      <c r="M33">
        <v>0.83</v>
      </c>
      <c r="N33">
        <v>16.38</v>
      </c>
      <c r="O33" t="s">
        <v>456</v>
      </c>
      <c r="P33">
        <v>0</v>
      </c>
    </row>
    <row r="34" spans="1:16" x14ac:dyDescent="0.25">
      <c r="A34" t="s">
        <v>145</v>
      </c>
      <c r="B34" t="s">
        <v>32</v>
      </c>
      <c r="C34" t="s">
        <v>439</v>
      </c>
      <c r="D34" t="s">
        <v>440</v>
      </c>
      <c r="E34" t="s">
        <v>37</v>
      </c>
      <c r="F34">
        <v>28.204999999999899</v>
      </c>
      <c r="G34" t="s">
        <v>21</v>
      </c>
      <c r="H34">
        <v>0.83</v>
      </c>
      <c r="I34">
        <v>0</v>
      </c>
      <c r="J34">
        <v>0</v>
      </c>
      <c r="L34">
        <v>23.41</v>
      </c>
      <c r="M34">
        <v>0.83</v>
      </c>
      <c r="N34">
        <v>23.41</v>
      </c>
      <c r="O34" t="s">
        <v>457</v>
      </c>
      <c r="P34">
        <v>0</v>
      </c>
    </row>
    <row r="35" spans="1:16" x14ac:dyDescent="0.25">
      <c r="A35" t="s">
        <v>82</v>
      </c>
      <c r="B35" t="s">
        <v>309</v>
      </c>
      <c r="C35" t="s">
        <v>412</v>
      </c>
      <c r="D35" t="s">
        <v>413</v>
      </c>
      <c r="E35" t="s">
        <v>20</v>
      </c>
      <c r="F35">
        <v>41.829999999999899</v>
      </c>
      <c r="G35" t="s">
        <v>21</v>
      </c>
      <c r="H35">
        <v>1.68</v>
      </c>
      <c r="I35">
        <v>0</v>
      </c>
      <c r="J35">
        <v>0</v>
      </c>
      <c r="K35">
        <v>0.13</v>
      </c>
      <c r="L35">
        <v>70.27</v>
      </c>
      <c r="M35">
        <v>1.82</v>
      </c>
      <c r="N35">
        <v>76.13</v>
      </c>
      <c r="O35" t="s">
        <v>156</v>
      </c>
      <c r="P35">
        <v>0</v>
      </c>
    </row>
    <row r="36" spans="1:16" x14ac:dyDescent="0.25">
      <c r="A36" t="s">
        <v>82</v>
      </c>
      <c r="B36" t="s">
        <v>277</v>
      </c>
      <c r="C36" t="s">
        <v>424</v>
      </c>
      <c r="D36" t="s">
        <v>425</v>
      </c>
      <c r="E36" t="s">
        <v>20</v>
      </c>
      <c r="F36">
        <v>20.242000000000001</v>
      </c>
      <c r="G36" t="s">
        <v>21</v>
      </c>
      <c r="H36">
        <v>1.68</v>
      </c>
      <c r="I36">
        <v>0</v>
      </c>
      <c r="J36">
        <v>0</v>
      </c>
      <c r="K36">
        <v>0.06</v>
      </c>
      <c r="L36">
        <v>34.01</v>
      </c>
      <c r="M36">
        <v>1.82</v>
      </c>
      <c r="N36">
        <v>36.840000000000003</v>
      </c>
      <c r="O36" t="s">
        <v>73</v>
      </c>
      <c r="P36">
        <v>0</v>
      </c>
    </row>
    <row r="37" spans="1:16" x14ac:dyDescent="0.25">
      <c r="A37" t="s">
        <v>82</v>
      </c>
      <c r="B37" t="s">
        <v>458</v>
      </c>
      <c r="C37" t="s">
        <v>459</v>
      </c>
      <c r="D37" t="s">
        <v>460</v>
      </c>
      <c r="E37" t="s">
        <v>20</v>
      </c>
      <c r="F37">
        <v>55.658999999999899</v>
      </c>
      <c r="G37" t="s">
        <v>21</v>
      </c>
      <c r="H37">
        <v>1.68</v>
      </c>
      <c r="I37">
        <v>0</v>
      </c>
      <c r="J37">
        <v>0</v>
      </c>
      <c r="K37">
        <v>0.17</v>
      </c>
      <c r="L37">
        <v>93.51</v>
      </c>
      <c r="M37">
        <v>1.82</v>
      </c>
      <c r="N37">
        <v>101.3</v>
      </c>
      <c r="O37" t="s">
        <v>461</v>
      </c>
      <c r="P37">
        <v>0</v>
      </c>
    </row>
    <row r="38" spans="1:16" x14ac:dyDescent="0.25">
      <c r="A38" t="s">
        <v>371</v>
      </c>
      <c r="B38" t="s">
        <v>309</v>
      </c>
      <c r="C38" t="s">
        <v>415</v>
      </c>
      <c r="D38" t="s">
        <v>416</v>
      </c>
      <c r="E38" t="s">
        <v>87</v>
      </c>
      <c r="F38">
        <v>9.0960000000000001</v>
      </c>
      <c r="G38" t="s">
        <v>21</v>
      </c>
      <c r="H38">
        <v>1.64</v>
      </c>
      <c r="I38">
        <v>0</v>
      </c>
      <c r="J38">
        <v>0</v>
      </c>
      <c r="K38">
        <v>0.04</v>
      </c>
      <c r="L38">
        <v>14.92</v>
      </c>
      <c r="M38">
        <v>1.77</v>
      </c>
      <c r="N38">
        <v>16.100000000000001</v>
      </c>
      <c r="O38" t="s">
        <v>462</v>
      </c>
      <c r="P38">
        <v>0</v>
      </c>
    </row>
    <row r="39" spans="1:16" x14ac:dyDescent="0.25">
      <c r="A39" t="s">
        <v>16</v>
      </c>
      <c r="B39" t="s">
        <v>222</v>
      </c>
      <c r="C39" t="s">
        <v>432</v>
      </c>
      <c r="D39" t="s">
        <v>433</v>
      </c>
      <c r="E39" t="s">
        <v>20</v>
      </c>
      <c r="F39">
        <v>38.939</v>
      </c>
      <c r="G39" t="s">
        <v>21</v>
      </c>
      <c r="H39">
        <v>1.67</v>
      </c>
      <c r="I39">
        <v>0</v>
      </c>
      <c r="J39">
        <v>0</v>
      </c>
      <c r="K39">
        <v>0.04</v>
      </c>
      <c r="L39">
        <v>65.03</v>
      </c>
      <c r="M39">
        <v>1.81</v>
      </c>
      <c r="N39">
        <v>70.48</v>
      </c>
      <c r="O39" t="s">
        <v>367</v>
      </c>
      <c r="P39">
        <v>0</v>
      </c>
    </row>
    <row r="40" spans="1:16" x14ac:dyDescent="0.25">
      <c r="A40" t="s">
        <v>86</v>
      </c>
      <c r="B40" t="s">
        <v>84</v>
      </c>
      <c r="C40" t="s">
        <v>463</v>
      </c>
      <c r="D40" t="s">
        <v>464</v>
      </c>
      <c r="E40" t="s">
        <v>30</v>
      </c>
      <c r="F40">
        <v>51.329000000000001</v>
      </c>
      <c r="G40" t="s">
        <v>21</v>
      </c>
      <c r="H40">
        <v>1.39</v>
      </c>
      <c r="I40">
        <v>0</v>
      </c>
      <c r="J40">
        <v>0</v>
      </c>
      <c r="K40">
        <v>0.05</v>
      </c>
      <c r="L40">
        <v>71.349999999999994</v>
      </c>
      <c r="M40">
        <v>1.52</v>
      </c>
      <c r="N40">
        <v>78.02</v>
      </c>
      <c r="O40" t="s">
        <v>465</v>
      </c>
      <c r="P40">
        <v>0</v>
      </c>
    </row>
    <row r="41" spans="1:16" x14ac:dyDescent="0.25">
      <c r="A41" t="s">
        <v>86</v>
      </c>
      <c r="B41" t="s">
        <v>17</v>
      </c>
      <c r="C41" t="s">
        <v>418</v>
      </c>
      <c r="D41" t="s">
        <v>419</v>
      </c>
      <c r="E41" t="s">
        <v>20</v>
      </c>
      <c r="F41">
        <v>49.668999999999897</v>
      </c>
      <c r="G41" t="s">
        <v>21</v>
      </c>
      <c r="H41">
        <v>1.67</v>
      </c>
      <c r="I41">
        <v>0</v>
      </c>
      <c r="J41">
        <v>0</v>
      </c>
      <c r="K41">
        <v>0.05</v>
      </c>
      <c r="L41">
        <v>82.95</v>
      </c>
      <c r="M41">
        <v>1.81</v>
      </c>
      <c r="N41">
        <v>89.9</v>
      </c>
      <c r="O41" t="s">
        <v>200</v>
      </c>
      <c r="P41">
        <v>0</v>
      </c>
    </row>
    <row r="42" spans="1:16" x14ac:dyDescent="0.25">
      <c r="A42" t="s">
        <v>151</v>
      </c>
      <c r="B42" t="s">
        <v>277</v>
      </c>
      <c r="C42" t="s">
        <v>424</v>
      </c>
      <c r="D42" t="s">
        <v>425</v>
      </c>
      <c r="E42" t="s">
        <v>20</v>
      </c>
      <c r="F42">
        <v>61.011000000000003</v>
      </c>
      <c r="G42" t="s">
        <v>21</v>
      </c>
      <c r="H42">
        <v>1.65</v>
      </c>
      <c r="I42">
        <v>0</v>
      </c>
      <c r="J42">
        <v>0</v>
      </c>
      <c r="K42">
        <v>0.24</v>
      </c>
      <c r="L42">
        <v>100.67</v>
      </c>
      <c r="M42">
        <v>1.8</v>
      </c>
      <c r="N42">
        <v>109.82</v>
      </c>
      <c r="O42" t="s">
        <v>466</v>
      </c>
      <c r="P42">
        <v>0</v>
      </c>
    </row>
    <row r="43" spans="1:16" x14ac:dyDescent="0.25">
      <c r="A43" t="s">
        <v>23</v>
      </c>
      <c r="B43" t="s">
        <v>467</v>
      </c>
      <c r="C43" t="s">
        <v>424</v>
      </c>
      <c r="D43" t="s">
        <v>425</v>
      </c>
      <c r="E43" t="s">
        <v>30</v>
      </c>
      <c r="F43">
        <v>24.94</v>
      </c>
      <c r="G43" t="s">
        <v>21</v>
      </c>
      <c r="H43">
        <v>1.39</v>
      </c>
      <c r="I43">
        <v>0</v>
      </c>
      <c r="J43">
        <v>0</v>
      </c>
      <c r="K43">
        <v>0.02</v>
      </c>
      <c r="L43">
        <v>34.67</v>
      </c>
      <c r="M43">
        <v>1.51</v>
      </c>
      <c r="N43">
        <v>37.659999999999997</v>
      </c>
      <c r="O43" t="s">
        <v>468</v>
      </c>
      <c r="P43">
        <v>0</v>
      </c>
    </row>
    <row r="44" spans="1:16" x14ac:dyDescent="0.25">
      <c r="A44" t="s">
        <v>23</v>
      </c>
      <c r="B44" t="s">
        <v>467</v>
      </c>
      <c r="C44" t="s">
        <v>424</v>
      </c>
      <c r="D44" t="s">
        <v>425</v>
      </c>
      <c r="E44" t="s">
        <v>37</v>
      </c>
      <c r="F44">
        <v>24.602</v>
      </c>
      <c r="G44" t="s">
        <v>21</v>
      </c>
      <c r="H44">
        <v>0.83</v>
      </c>
      <c r="I44">
        <v>0</v>
      </c>
      <c r="J44">
        <v>0</v>
      </c>
      <c r="L44">
        <v>20.420000000000002</v>
      </c>
      <c r="M44">
        <v>0.83</v>
      </c>
      <c r="N44">
        <v>20.420000000000002</v>
      </c>
      <c r="O44" t="s">
        <v>468</v>
      </c>
      <c r="P44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P22"/>
  <sheetViews>
    <sheetView workbookViewId="0">
      <selection activeCell="L2" sqref="L2:L22"/>
    </sheetView>
  </sheetViews>
  <sheetFormatPr defaultRowHeight="15" x14ac:dyDescent="0.25"/>
  <cols>
    <col min="1" max="1" width="10.42578125" bestFit="1" customWidth="1"/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42</v>
      </c>
      <c r="B2" s="6" t="s">
        <v>17</v>
      </c>
      <c r="C2" s="6" t="s">
        <v>469</v>
      </c>
      <c r="D2" s="6" t="s">
        <v>470</v>
      </c>
      <c r="E2" s="6" t="s">
        <v>20</v>
      </c>
      <c r="F2" s="6">
        <v>470</v>
      </c>
      <c r="G2" s="6" t="s">
        <v>21</v>
      </c>
      <c r="H2" s="6">
        <v>1.66</v>
      </c>
      <c r="I2" s="6">
        <v>0</v>
      </c>
      <c r="J2" s="6">
        <v>0.01</v>
      </c>
      <c r="K2" s="6">
        <v>4.7</v>
      </c>
      <c r="L2" s="6">
        <v>780.2</v>
      </c>
      <c r="M2" s="6">
        <v>1.69</v>
      </c>
      <c r="N2" s="6">
        <v>794.3</v>
      </c>
      <c r="O2" s="6" t="s">
        <v>471</v>
      </c>
      <c r="P2" s="6">
        <v>0</v>
      </c>
    </row>
    <row r="3" spans="1:16" s="6" customFormat="1" x14ac:dyDescent="0.25">
      <c r="A3" s="6" t="s">
        <v>56</v>
      </c>
      <c r="B3" s="6" t="s">
        <v>17</v>
      </c>
      <c r="C3" s="6" t="s">
        <v>472</v>
      </c>
      <c r="D3" s="6" t="s">
        <v>473</v>
      </c>
      <c r="E3" s="6" t="s">
        <v>20</v>
      </c>
      <c r="F3" s="6">
        <v>377.83100000000002</v>
      </c>
      <c r="G3" s="6" t="s">
        <v>21</v>
      </c>
      <c r="H3" s="6">
        <v>1.66</v>
      </c>
      <c r="I3" s="6">
        <v>0</v>
      </c>
      <c r="J3" s="6">
        <v>0.01</v>
      </c>
      <c r="K3" s="6">
        <v>3.78</v>
      </c>
      <c r="L3" s="6">
        <v>627.20000000000005</v>
      </c>
      <c r="M3" s="6">
        <v>1.72</v>
      </c>
      <c r="N3" s="6">
        <v>649.87</v>
      </c>
      <c r="O3" s="6" t="s">
        <v>474</v>
      </c>
      <c r="P3" s="6">
        <v>0</v>
      </c>
    </row>
    <row r="4" spans="1:16" s="6" customFormat="1" x14ac:dyDescent="0.25">
      <c r="A4" s="6" t="s">
        <v>185</v>
      </c>
      <c r="B4" s="6" t="s">
        <v>17</v>
      </c>
      <c r="C4" s="6" t="s">
        <v>469</v>
      </c>
      <c r="D4" s="6" t="s">
        <v>470</v>
      </c>
      <c r="E4" s="6" t="s">
        <v>20</v>
      </c>
      <c r="F4" s="6">
        <v>425.04</v>
      </c>
      <c r="G4" s="6" t="s">
        <v>21</v>
      </c>
      <c r="H4" s="6">
        <v>1.74</v>
      </c>
      <c r="I4" s="6">
        <v>0</v>
      </c>
      <c r="J4" s="6">
        <v>0.02</v>
      </c>
      <c r="K4" s="6">
        <v>8.5</v>
      </c>
      <c r="L4" s="6">
        <v>739.57</v>
      </c>
      <c r="M4" s="6">
        <v>1.76</v>
      </c>
      <c r="N4" s="6">
        <v>748.07</v>
      </c>
      <c r="O4" s="6" t="s">
        <v>225</v>
      </c>
      <c r="P4" s="6">
        <v>0</v>
      </c>
    </row>
    <row r="5" spans="1:16" s="6" customFormat="1" x14ac:dyDescent="0.25">
      <c r="A5" s="6" t="s">
        <v>58</v>
      </c>
      <c r="B5" s="6" t="s">
        <v>17</v>
      </c>
      <c r="C5" s="6" t="s">
        <v>469</v>
      </c>
      <c r="D5" s="6" t="s">
        <v>470</v>
      </c>
      <c r="E5" s="6" t="s">
        <v>20</v>
      </c>
      <c r="F5" s="6">
        <v>517</v>
      </c>
      <c r="G5" s="6" t="s">
        <v>21</v>
      </c>
      <c r="H5" s="6">
        <v>1.74</v>
      </c>
      <c r="I5" s="6">
        <v>0</v>
      </c>
      <c r="J5" s="6">
        <v>0.02</v>
      </c>
      <c r="K5" s="6">
        <v>10.34</v>
      </c>
      <c r="L5" s="6">
        <v>899.58</v>
      </c>
      <c r="M5" s="6">
        <v>1.76</v>
      </c>
      <c r="N5" s="6">
        <v>909.92</v>
      </c>
      <c r="O5" s="6" t="s">
        <v>475</v>
      </c>
      <c r="P5" s="6">
        <v>0</v>
      </c>
    </row>
    <row r="6" spans="1:16" s="6" customFormat="1" x14ac:dyDescent="0.25">
      <c r="A6" s="6" t="s">
        <v>66</v>
      </c>
      <c r="B6" s="6" t="s">
        <v>17</v>
      </c>
      <c r="C6" s="6" t="s">
        <v>469</v>
      </c>
      <c r="D6" s="6" t="s">
        <v>470</v>
      </c>
      <c r="E6" s="6" t="s">
        <v>20</v>
      </c>
      <c r="F6" s="6">
        <v>360.02300000000002</v>
      </c>
      <c r="G6" s="6" t="s">
        <v>21</v>
      </c>
      <c r="H6" s="6">
        <v>1.74</v>
      </c>
      <c r="I6" s="6">
        <v>0</v>
      </c>
      <c r="J6" s="6">
        <v>0.03</v>
      </c>
      <c r="K6" s="6">
        <v>10.8</v>
      </c>
      <c r="L6" s="6">
        <v>626.44000000000005</v>
      </c>
      <c r="M6" s="6">
        <v>1.77</v>
      </c>
      <c r="N6" s="6">
        <v>637.24</v>
      </c>
      <c r="O6" s="6" t="s">
        <v>170</v>
      </c>
      <c r="P6" s="6">
        <v>0</v>
      </c>
    </row>
    <row r="7" spans="1:16" s="6" customFormat="1" x14ac:dyDescent="0.25">
      <c r="A7" s="6" t="s">
        <v>332</v>
      </c>
      <c r="B7" s="6" t="s">
        <v>103</v>
      </c>
      <c r="C7" s="6" t="s">
        <v>472</v>
      </c>
      <c r="D7" s="6" t="s">
        <v>473</v>
      </c>
      <c r="E7" s="6" t="s">
        <v>20</v>
      </c>
      <c r="F7" s="6">
        <v>55.212000000000003</v>
      </c>
      <c r="G7" s="6" t="s">
        <v>21</v>
      </c>
      <c r="H7" s="6">
        <v>1.74</v>
      </c>
      <c r="I7" s="6">
        <v>0</v>
      </c>
      <c r="J7" s="6">
        <v>0.03</v>
      </c>
      <c r="K7" s="6">
        <v>1.66</v>
      </c>
      <c r="L7" s="6">
        <v>96.07</v>
      </c>
      <c r="M7" s="6">
        <v>1.79</v>
      </c>
      <c r="N7" s="6">
        <v>98.83</v>
      </c>
      <c r="O7" s="6" t="s">
        <v>314</v>
      </c>
      <c r="P7" s="6">
        <v>0</v>
      </c>
    </row>
    <row r="8" spans="1:16" s="6" customFormat="1" x14ac:dyDescent="0.25">
      <c r="A8" s="6" t="s">
        <v>136</v>
      </c>
      <c r="B8" s="6" t="s">
        <v>17</v>
      </c>
      <c r="C8" s="6" t="s">
        <v>476</v>
      </c>
      <c r="D8" s="6" t="s">
        <v>477</v>
      </c>
      <c r="E8" s="6" t="s">
        <v>20</v>
      </c>
      <c r="F8" s="6">
        <v>447.35199999999901</v>
      </c>
      <c r="G8" s="6" t="s">
        <v>21</v>
      </c>
      <c r="H8" s="6">
        <v>1.77</v>
      </c>
      <c r="I8" s="6">
        <v>0</v>
      </c>
      <c r="J8" s="6">
        <v>0.03</v>
      </c>
      <c r="K8" s="6">
        <v>13.42</v>
      </c>
      <c r="L8" s="6">
        <v>791.81</v>
      </c>
      <c r="M8" s="6">
        <v>1.79</v>
      </c>
      <c r="N8" s="6">
        <v>800.76</v>
      </c>
      <c r="O8" s="6" t="s">
        <v>478</v>
      </c>
      <c r="P8" s="6">
        <v>0</v>
      </c>
    </row>
    <row r="9" spans="1:16" s="6" customFormat="1" x14ac:dyDescent="0.25">
      <c r="A9" s="6" t="s">
        <v>136</v>
      </c>
      <c r="B9" s="6" t="s">
        <v>17</v>
      </c>
      <c r="C9" s="6" t="s">
        <v>469</v>
      </c>
      <c r="D9" s="6" t="s">
        <v>470</v>
      </c>
      <c r="E9" s="6" t="s">
        <v>20</v>
      </c>
      <c r="F9" s="6">
        <v>383.79899999999901</v>
      </c>
      <c r="G9" s="6" t="s">
        <v>21</v>
      </c>
      <c r="H9" s="6">
        <v>1.77</v>
      </c>
      <c r="I9" s="6">
        <v>0</v>
      </c>
      <c r="J9" s="6">
        <v>0.03</v>
      </c>
      <c r="K9" s="6">
        <v>11.51</v>
      </c>
      <c r="L9" s="6">
        <v>679.32</v>
      </c>
      <c r="M9" s="6">
        <v>1.79</v>
      </c>
      <c r="N9" s="6">
        <v>687</v>
      </c>
      <c r="O9" s="6" t="s">
        <v>57</v>
      </c>
      <c r="P9" s="6">
        <v>0</v>
      </c>
    </row>
    <row r="10" spans="1:16" s="6" customFormat="1" x14ac:dyDescent="0.25">
      <c r="A10" s="6" t="s">
        <v>70</v>
      </c>
      <c r="B10" s="6" t="s">
        <v>17</v>
      </c>
      <c r="C10" s="6" t="s">
        <v>472</v>
      </c>
      <c r="D10" s="6" t="s">
        <v>473</v>
      </c>
      <c r="E10" s="6" t="s">
        <v>20</v>
      </c>
      <c r="F10" s="6">
        <v>518.43100000000004</v>
      </c>
      <c r="G10" s="6" t="s">
        <v>21</v>
      </c>
      <c r="H10" s="6">
        <v>1.77</v>
      </c>
      <c r="I10" s="6">
        <v>0</v>
      </c>
      <c r="J10" s="6">
        <v>0.03</v>
      </c>
      <c r="K10" s="6">
        <v>15.55</v>
      </c>
      <c r="L10" s="6">
        <v>917.62</v>
      </c>
      <c r="M10" s="6">
        <v>1.81</v>
      </c>
      <c r="N10" s="6">
        <v>938.36</v>
      </c>
      <c r="O10" s="6" t="s">
        <v>198</v>
      </c>
      <c r="P10" s="6">
        <v>0</v>
      </c>
    </row>
    <row r="11" spans="1:16" s="6" customFormat="1" x14ac:dyDescent="0.25">
      <c r="A11" s="6" t="s">
        <v>70</v>
      </c>
      <c r="B11" s="6" t="s">
        <v>17</v>
      </c>
      <c r="C11" s="6" t="s">
        <v>476</v>
      </c>
      <c r="D11" s="6" t="s">
        <v>477</v>
      </c>
      <c r="E11" s="6" t="s">
        <v>20</v>
      </c>
      <c r="F11" s="6">
        <v>500.541</v>
      </c>
      <c r="G11" s="6" t="s">
        <v>21</v>
      </c>
      <c r="H11" s="6">
        <v>1.77</v>
      </c>
      <c r="I11" s="6">
        <v>0</v>
      </c>
      <c r="J11" s="6">
        <v>0.03</v>
      </c>
      <c r="K11" s="6">
        <v>15.02</v>
      </c>
      <c r="L11" s="6">
        <v>885.96</v>
      </c>
      <c r="M11" s="6">
        <v>1.81</v>
      </c>
      <c r="N11" s="6">
        <v>905.98</v>
      </c>
      <c r="O11" s="6" t="s">
        <v>479</v>
      </c>
      <c r="P11" s="6">
        <v>0</v>
      </c>
    </row>
    <row r="12" spans="1:16" s="6" customFormat="1" x14ac:dyDescent="0.25">
      <c r="A12" s="6" t="s">
        <v>70</v>
      </c>
      <c r="B12" s="6" t="s">
        <v>17</v>
      </c>
      <c r="C12" s="6" t="s">
        <v>469</v>
      </c>
      <c r="D12" s="6" t="s">
        <v>470</v>
      </c>
      <c r="E12" s="6" t="s">
        <v>20</v>
      </c>
      <c r="F12" s="6">
        <v>390</v>
      </c>
      <c r="G12" s="6" t="s">
        <v>21</v>
      </c>
      <c r="H12" s="6">
        <v>1.77</v>
      </c>
      <c r="I12" s="6">
        <v>0</v>
      </c>
      <c r="J12" s="6">
        <v>0.03</v>
      </c>
      <c r="K12" s="6">
        <v>11.7</v>
      </c>
      <c r="L12" s="6">
        <v>690.3</v>
      </c>
      <c r="M12" s="6">
        <v>1.81</v>
      </c>
      <c r="N12" s="6">
        <v>705.9</v>
      </c>
      <c r="O12" s="6" t="s">
        <v>480</v>
      </c>
      <c r="P12" s="6">
        <v>0</v>
      </c>
    </row>
    <row r="13" spans="1:16" s="6" customFormat="1" x14ac:dyDescent="0.25">
      <c r="A13" s="6" t="s">
        <v>72</v>
      </c>
      <c r="B13" s="6" t="s">
        <v>17</v>
      </c>
      <c r="C13" s="6" t="s">
        <v>472</v>
      </c>
      <c r="D13" s="6" t="s">
        <v>473</v>
      </c>
      <c r="E13" s="6" t="s">
        <v>20</v>
      </c>
      <c r="F13" s="6">
        <v>474.58199999999903</v>
      </c>
      <c r="G13" s="6" t="s">
        <v>21</v>
      </c>
      <c r="H13" s="6">
        <v>1.74</v>
      </c>
      <c r="I13" s="6">
        <v>0</v>
      </c>
      <c r="J13" s="6">
        <v>0.03</v>
      </c>
      <c r="K13" s="6">
        <v>14.24</v>
      </c>
      <c r="L13" s="6">
        <v>825.77</v>
      </c>
      <c r="M13" s="6">
        <v>1.82</v>
      </c>
      <c r="N13" s="6">
        <v>863.74</v>
      </c>
      <c r="O13" s="6" t="s">
        <v>481</v>
      </c>
      <c r="P13" s="6">
        <v>0</v>
      </c>
    </row>
    <row r="14" spans="1:16" s="6" customFormat="1" x14ac:dyDescent="0.25">
      <c r="A14" s="6" t="s">
        <v>72</v>
      </c>
      <c r="B14" s="6" t="s">
        <v>17</v>
      </c>
      <c r="C14" s="6" t="s">
        <v>476</v>
      </c>
      <c r="D14" s="6" t="s">
        <v>477</v>
      </c>
      <c r="E14" s="6" t="s">
        <v>20</v>
      </c>
      <c r="F14" s="6">
        <v>516.48900000000003</v>
      </c>
      <c r="G14" s="6" t="s">
        <v>21</v>
      </c>
      <c r="H14" s="6">
        <v>1.74</v>
      </c>
      <c r="I14" s="6">
        <v>0</v>
      </c>
      <c r="J14" s="6">
        <v>0.03</v>
      </c>
      <c r="K14" s="6">
        <v>15.49</v>
      </c>
      <c r="L14" s="6">
        <v>898.69</v>
      </c>
      <c r="M14" s="6">
        <v>1.82</v>
      </c>
      <c r="N14" s="6">
        <v>940.01</v>
      </c>
      <c r="O14" s="6" t="s">
        <v>482</v>
      </c>
      <c r="P14" s="6">
        <v>0</v>
      </c>
    </row>
    <row r="15" spans="1:16" s="6" customFormat="1" x14ac:dyDescent="0.25">
      <c r="A15" s="6" t="s">
        <v>243</v>
      </c>
      <c r="B15" s="6" t="s">
        <v>17</v>
      </c>
      <c r="C15" s="6" t="s">
        <v>469</v>
      </c>
      <c r="D15" s="6" t="s">
        <v>470</v>
      </c>
      <c r="E15" s="6" t="s">
        <v>20</v>
      </c>
      <c r="F15" s="6">
        <v>320</v>
      </c>
      <c r="G15" s="6" t="s">
        <v>21</v>
      </c>
      <c r="H15" s="6">
        <v>1.73</v>
      </c>
      <c r="I15" s="6">
        <v>0</v>
      </c>
      <c r="J15" s="6">
        <v>0.03</v>
      </c>
      <c r="K15" s="6">
        <v>9.6</v>
      </c>
      <c r="L15" s="6">
        <v>553.6</v>
      </c>
      <c r="M15" s="6">
        <v>1.82</v>
      </c>
      <c r="N15" s="6">
        <v>582.4</v>
      </c>
      <c r="O15" s="6" t="s">
        <v>483</v>
      </c>
      <c r="P15" s="6">
        <v>0</v>
      </c>
    </row>
    <row r="16" spans="1:16" s="6" customFormat="1" x14ac:dyDescent="0.25">
      <c r="A16" s="6" t="s">
        <v>243</v>
      </c>
      <c r="B16" s="6" t="s">
        <v>17</v>
      </c>
      <c r="C16" s="6" t="s">
        <v>476</v>
      </c>
      <c r="D16" s="6" t="s">
        <v>477</v>
      </c>
      <c r="E16" s="6" t="s">
        <v>20</v>
      </c>
      <c r="F16" s="6">
        <v>402.62099999999901</v>
      </c>
      <c r="G16" s="6" t="s">
        <v>21</v>
      </c>
      <c r="H16" s="6">
        <v>1.73</v>
      </c>
      <c r="I16" s="6">
        <v>0</v>
      </c>
      <c r="J16" s="6">
        <v>0.03</v>
      </c>
      <c r="K16" s="6">
        <v>12.08</v>
      </c>
      <c r="L16" s="6">
        <v>696.53</v>
      </c>
      <c r="M16" s="6">
        <v>1.82</v>
      </c>
      <c r="N16" s="6">
        <v>732.77</v>
      </c>
      <c r="O16" s="6" t="s">
        <v>484</v>
      </c>
      <c r="P16" s="6">
        <v>0</v>
      </c>
    </row>
    <row r="17" spans="1:16" s="6" customFormat="1" x14ac:dyDescent="0.25">
      <c r="A17" s="6" t="s">
        <v>82</v>
      </c>
      <c r="B17" s="6" t="s">
        <v>17</v>
      </c>
      <c r="C17" s="6" t="s">
        <v>476</v>
      </c>
      <c r="D17" s="6" t="s">
        <v>477</v>
      </c>
      <c r="E17" s="6" t="s">
        <v>20</v>
      </c>
      <c r="F17" s="6">
        <v>497</v>
      </c>
      <c r="G17" s="6" t="s">
        <v>21</v>
      </c>
      <c r="H17" s="6">
        <v>1.72</v>
      </c>
      <c r="I17" s="6">
        <v>0</v>
      </c>
      <c r="J17" s="6">
        <v>0.04</v>
      </c>
      <c r="K17" s="6">
        <v>19.88</v>
      </c>
      <c r="L17" s="6">
        <v>854.84</v>
      </c>
      <c r="M17" s="6">
        <v>1.82</v>
      </c>
      <c r="N17" s="6">
        <v>904.54</v>
      </c>
      <c r="O17" s="6" t="s">
        <v>485</v>
      </c>
      <c r="P17" s="6">
        <v>0</v>
      </c>
    </row>
    <row r="18" spans="1:16" s="6" customFormat="1" x14ac:dyDescent="0.25">
      <c r="A18" s="6" t="s">
        <v>82</v>
      </c>
      <c r="B18" s="6" t="s">
        <v>17</v>
      </c>
      <c r="C18" s="6" t="s">
        <v>486</v>
      </c>
      <c r="D18" s="6" t="s">
        <v>487</v>
      </c>
      <c r="E18" s="6" t="s">
        <v>20</v>
      </c>
      <c r="F18" s="6">
        <v>350</v>
      </c>
      <c r="G18" s="6" t="s">
        <v>21</v>
      </c>
      <c r="H18" s="6">
        <v>1.72</v>
      </c>
      <c r="I18" s="6">
        <v>0</v>
      </c>
      <c r="J18" s="6">
        <v>0.04</v>
      </c>
      <c r="K18" s="6">
        <v>14</v>
      </c>
      <c r="L18" s="6">
        <v>602</v>
      </c>
      <c r="M18" s="6">
        <v>1.82</v>
      </c>
      <c r="N18" s="6">
        <v>637</v>
      </c>
      <c r="O18" s="6" t="s">
        <v>488</v>
      </c>
      <c r="P18" s="6">
        <v>0</v>
      </c>
    </row>
    <row r="19" spans="1:16" s="6" customFormat="1" x14ac:dyDescent="0.25">
      <c r="A19" s="6" t="s">
        <v>82</v>
      </c>
      <c r="B19" s="6" t="s">
        <v>103</v>
      </c>
      <c r="C19" s="6" t="s">
        <v>489</v>
      </c>
      <c r="D19" s="6" t="s">
        <v>490</v>
      </c>
      <c r="E19" s="6" t="s">
        <v>20</v>
      </c>
      <c r="F19" s="6">
        <v>51.9179999999999</v>
      </c>
      <c r="G19" s="6" t="s">
        <v>21</v>
      </c>
      <c r="H19" s="6">
        <v>1.72</v>
      </c>
      <c r="I19" s="6">
        <v>0</v>
      </c>
      <c r="J19" s="6">
        <v>0.04</v>
      </c>
      <c r="K19" s="6">
        <v>2.08</v>
      </c>
      <c r="L19" s="6">
        <v>89.3</v>
      </c>
      <c r="M19" s="6">
        <v>1.82</v>
      </c>
      <c r="N19" s="6">
        <v>94.49</v>
      </c>
      <c r="O19" s="6" t="s">
        <v>491</v>
      </c>
      <c r="P19" s="6">
        <v>0</v>
      </c>
    </row>
    <row r="20" spans="1:16" s="6" customFormat="1" x14ac:dyDescent="0.25">
      <c r="A20" s="6" t="s">
        <v>16</v>
      </c>
      <c r="B20" s="6" t="s">
        <v>17</v>
      </c>
      <c r="C20" s="6" t="s">
        <v>486</v>
      </c>
      <c r="D20" s="6" t="s">
        <v>487</v>
      </c>
      <c r="E20" s="6" t="s">
        <v>20</v>
      </c>
      <c r="F20" s="6">
        <v>400</v>
      </c>
      <c r="G20" s="6" t="s">
        <v>21</v>
      </c>
      <c r="H20" s="6">
        <v>1.71</v>
      </c>
      <c r="I20" s="6">
        <v>0</v>
      </c>
      <c r="J20" s="6">
        <v>0.04</v>
      </c>
      <c r="K20" s="6">
        <v>16</v>
      </c>
      <c r="L20" s="6">
        <v>684</v>
      </c>
      <c r="M20" s="6">
        <v>1.81</v>
      </c>
      <c r="N20" s="6">
        <v>724</v>
      </c>
      <c r="O20" s="6" t="s">
        <v>492</v>
      </c>
      <c r="P20" s="6">
        <v>0</v>
      </c>
    </row>
    <row r="21" spans="1:16" s="6" customFormat="1" x14ac:dyDescent="0.25">
      <c r="A21" s="6" t="s">
        <v>151</v>
      </c>
      <c r="B21" s="6" t="s">
        <v>17</v>
      </c>
      <c r="C21" s="6" t="s">
        <v>476</v>
      </c>
      <c r="D21" s="6" t="s">
        <v>477</v>
      </c>
      <c r="E21" s="6" t="s">
        <v>20</v>
      </c>
      <c r="F21" s="6">
        <v>360.839</v>
      </c>
      <c r="G21" s="6" t="s">
        <v>21</v>
      </c>
      <c r="H21" s="6">
        <v>1.69</v>
      </c>
      <c r="I21" s="6">
        <v>0</v>
      </c>
      <c r="J21" s="6">
        <v>0.04</v>
      </c>
      <c r="K21" s="6">
        <v>14.43</v>
      </c>
      <c r="L21" s="6">
        <v>609.82000000000005</v>
      </c>
      <c r="M21" s="6">
        <v>1.8</v>
      </c>
      <c r="N21" s="6">
        <v>649.51</v>
      </c>
      <c r="O21" s="6" t="s">
        <v>301</v>
      </c>
      <c r="P21" s="6">
        <v>0</v>
      </c>
    </row>
    <row r="22" spans="1:16" s="6" customFormat="1" x14ac:dyDescent="0.25">
      <c r="A22" s="6" t="s">
        <v>23</v>
      </c>
      <c r="B22" s="6" t="s">
        <v>17</v>
      </c>
      <c r="C22" s="6" t="s">
        <v>486</v>
      </c>
      <c r="D22" s="6" t="s">
        <v>487</v>
      </c>
      <c r="E22" s="6" t="s">
        <v>20</v>
      </c>
      <c r="F22" s="6">
        <v>400</v>
      </c>
      <c r="G22" s="6" t="s">
        <v>21</v>
      </c>
      <c r="H22" s="6">
        <v>1.69</v>
      </c>
      <c r="I22" s="6">
        <v>0</v>
      </c>
      <c r="J22" s="6">
        <v>0.04</v>
      </c>
      <c r="K22" s="6">
        <v>16</v>
      </c>
      <c r="L22" s="6">
        <v>676</v>
      </c>
      <c r="M22" s="6">
        <v>1.8</v>
      </c>
      <c r="N22" s="6">
        <v>720</v>
      </c>
      <c r="O22" s="6" t="s">
        <v>493</v>
      </c>
      <c r="P22" s="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P20"/>
  <sheetViews>
    <sheetView workbookViewId="0">
      <selection activeCell="L2" sqref="L2:L20"/>
    </sheetView>
  </sheetViews>
  <sheetFormatPr defaultRowHeight="15" x14ac:dyDescent="0.25"/>
  <cols>
    <col min="5" max="5" width="44.85546875" bestFit="1" customWidth="1"/>
    <col min="12" max="12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95</v>
      </c>
      <c r="C2" t="s">
        <v>494</v>
      </c>
      <c r="D2" t="s">
        <v>495</v>
      </c>
      <c r="E2" t="s">
        <v>20</v>
      </c>
      <c r="F2">
        <v>32.959000000000003</v>
      </c>
      <c r="G2" t="s">
        <v>21</v>
      </c>
      <c r="H2">
        <f>M2-I2</f>
        <v>1.64</v>
      </c>
      <c r="I2">
        <v>0.05</v>
      </c>
      <c r="J2">
        <v>0</v>
      </c>
      <c r="L2" s="1">
        <f>F2*H2</f>
        <v>54.052759999999999</v>
      </c>
      <c r="M2">
        <v>1.69</v>
      </c>
      <c r="N2">
        <v>55.7</v>
      </c>
      <c r="O2" t="s">
        <v>262</v>
      </c>
      <c r="P2">
        <v>87069</v>
      </c>
    </row>
    <row r="3" spans="1:16" x14ac:dyDescent="0.25">
      <c r="A3" t="s">
        <v>51</v>
      </c>
      <c r="B3" t="s">
        <v>496</v>
      </c>
      <c r="C3" t="s">
        <v>494</v>
      </c>
      <c r="D3" t="s">
        <v>495</v>
      </c>
      <c r="E3" t="s">
        <v>261</v>
      </c>
      <c r="F3">
        <v>1</v>
      </c>
      <c r="G3" t="s">
        <v>210</v>
      </c>
      <c r="H3">
        <f t="shared" ref="H3:H20" si="0">M3-I3</f>
        <v>13.28</v>
      </c>
      <c r="I3">
        <v>0</v>
      </c>
      <c r="J3">
        <v>0</v>
      </c>
      <c r="L3" s="1">
        <f t="shared" ref="L3:L20" si="1">F3*H3</f>
        <v>13.28</v>
      </c>
      <c r="M3">
        <v>13.28</v>
      </c>
      <c r="N3">
        <v>13.28</v>
      </c>
      <c r="O3" t="s">
        <v>497</v>
      </c>
      <c r="P3">
        <v>0</v>
      </c>
    </row>
    <row r="4" spans="1:16" x14ac:dyDescent="0.25">
      <c r="A4" t="s">
        <v>427</v>
      </c>
      <c r="B4" t="s">
        <v>84</v>
      </c>
      <c r="C4" t="s">
        <v>498</v>
      </c>
      <c r="D4" t="s">
        <v>499</v>
      </c>
      <c r="E4" t="s">
        <v>20</v>
      </c>
      <c r="F4">
        <v>73.989000000000004</v>
      </c>
      <c r="G4" t="s">
        <v>21</v>
      </c>
      <c r="H4">
        <f t="shared" si="0"/>
        <v>1.69</v>
      </c>
      <c r="I4">
        <v>0.05</v>
      </c>
      <c r="J4">
        <v>0</v>
      </c>
      <c r="L4" s="1">
        <f t="shared" si="1"/>
        <v>125.04141</v>
      </c>
      <c r="M4">
        <v>1.74</v>
      </c>
      <c r="N4">
        <v>128.74</v>
      </c>
      <c r="O4" t="s">
        <v>500</v>
      </c>
      <c r="P4">
        <v>25700</v>
      </c>
    </row>
    <row r="5" spans="1:16" x14ac:dyDescent="0.25">
      <c r="A5" t="s">
        <v>185</v>
      </c>
      <c r="B5" t="s">
        <v>17</v>
      </c>
      <c r="C5" t="s">
        <v>501</v>
      </c>
      <c r="D5" t="s">
        <v>502</v>
      </c>
      <c r="E5" t="s">
        <v>20</v>
      </c>
      <c r="F5">
        <v>78.602000000000004</v>
      </c>
      <c r="G5" t="s">
        <v>21</v>
      </c>
      <c r="H5">
        <f t="shared" si="0"/>
        <v>1.71</v>
      </c>
      <c r="I5">
        <v>0.05</v>
      </c>
      <c r="J5">
        <v>0</v>
      </c>
      <c r="L5" s="1">
        <f t="shared" si="1"/>
        <v>134.40942000000001</v>
      </c>
      <c r="M5">
        <v>1.76</v>
      </c>
      <c r="N5">
        <v>138.34</v>
      </c>
      <c r="O5" t="s">
        <v>503</v>
      </c>
      <c r="P5">
        <v>11254</v>
      </c>
    </row>
    <row r="6" spans="1:16" x14ac:dyDescent="0.25">
      <c r="A6" t="s">
        <v>185</v>
      </c>
      <c r="B6" t="s">
        <v>17</v>
      </c>
      <c r="C6" t="s">
        <v>501</v>
      </c>
      <c r="D6" t="s">
        <v>502</v>
      </c>
      <c r="E6" t="s">
        <v>209</v>
      </c>
      <c r="F6">
        <v>1</v>
      </c>
      <c r="G6" t="s">
        <v>210</v>
      </c>
      <c r="H6">
        <f t="shared" si="0"/>
        <v>9.49</v>
      </c>
      <c r="I6">
        <v>0</v>
      </c>
      <c r="J6">
        <v>0</v>
      </c>
      <c r="L6" s="1">
        <f t="shared" si="1"/>
        <v>9.49</v>
      </c>
      <c r="M6">
        <v>9.49</v>
      </c>
      <c r="N6">
        <v>9.49</v>
      </c>
      <c r="O6" t="s">
        <v>503</v>
      </c>
      <c r="P6">
        <v>11254</v>
      </c>
    </row>
    <row r="7" spans="1:16" x14ac:dyDescent="0.25">
      <c r="A7" t="s">
        <v>185</v>
      </c>
      <c r="B7" t="s">
        <v>17</v>
      </c>
      <c r="C7" t="s">
        <v>501</v>
      </c>
      <c r="D7" t="s">
        <v>502</v>
      </c>
      <c r="E7" t="s">
        <v>504</v>
      </c>
      <c r="F7">
        <v>1</v>
      </c>
      <c r="G7" t="s">
        <v>210</v>
      </c>
      <c r="H7">
        <f t="shared" si="0"/>
        <v>23.79</v>
      </c>
      <c r="I7">
        <v>0</v>
      </c>
      <c r="J7">
        <v>0</v>
      </c>
      <c r="L7" s="1">
        <f t="shared" si="1"/>
        <v>23.79</v>
      </c>
      <c r="M7">
        <v>23.79</v>
      </c>
      <c r="N7">
        <v>23.79</v>
      </c>
      <c r="O7" t="s">
        <v>503</v>
      </c>
      <c r="P7">
        <v>11254</v>
      </c>
    </row>
    <row r="8" spans="1:16" x14ac:dyDescent="0.25">
      <c r="A8" t="s">
        <v>58</v>
      </c>
      <c r="B8" t="s">
        <v>17</v>
      </c>
      <c r="C8" t="s">
        <v>498</v>
      </c>
      <c r="D8" t="s">
        <v>499</v>
      </c>
      <c r="E8" t="s">
        <v>20</v>
      </c>
      <c r="F8">
        <v>67.579999999999899</v>
      </c>
      <c r="G8" t="s">
        <v>21</v>
      </c>
      <c r="H8">
        <f t="shared" si="0"/>
        <v>1.71</v>
      </c>
      <c r="I8">
        <v>0.05</v>
      </c>
      <c r="J8">
        <v>0</v>
      </c>
      <c r="L8" s="1">
        <f t="shared" si="1"/>
        <v>115.56179999999982</v>
      </c>
      <c r="M8">
        <v>1.76</v>
      </c>
      <c r="N8">
        <v>118.94</v>
      </c>
      <c r="O8" t="s">
        <v>505</v>
      </c>
      <c r="P8">
        <v>26330</v>
      </c>
    </row>
    <row r="9" spans="1:16" x14ac:dyDescent="0.25">
      <c r="A9" t="s">
        <v>58</v>
      </c>
      <c r="B9" t="s">
        <v>17</v>
      </c>
      <c r="C9" t="s">
        <v>498</v>
      </c>
      <c r="D9" t="s">
        <v>499</v>
      </c>
      <c r="E9" t="s">
        <v>209</v>
      </c>
      <c r="F9">
        <v>1</v>
      </c>
      <c r="G9" t="s">
        <v>210</v>
      </c>
      <c r="H9">
        <f t="shared" si="0"/>
        <v>9.49</v>
      </c>
      <c r="I9">
        <v>0</v>
      </c>
      <c r="J9">
        <v>0</v>
      </c>
      <c r="L9" s="1">
        <f t="shared" si="1"/>
        <v>9.49</v>
      </c>
      <c r="M9">
        <v>9.49</v>
      </c>
      <c r="N9">
        <v>9.49</v>
      </c>
      <c r="O9" t="s">
        <v>505</v>
      </c>
      <c r="P9">
        <v>26330</v>
      </c>
    </row>
    <row r="10" spans="1:16" x14ac:dyDescent="0.25">
      <c r="A10" t="s">
        <v>111</v>
      </c>
      <c r="B10" t="s">
        <v>17</v>
      </c>
      <c r="C10" t="s">
        <v>506</v>
      </c>
      <c r="D10" t="s">
        <v>507</v>
      </c>
      <c r="E10" t="s">
        <v>20</v>
      </c>
      <c r="F10">
        <v>67.010999999999896</v>
      </c>
      <c r="G10" t="s">
        <v>21</v>
      </c>
      <c r="H10">
        <f t="shared" si="0"/>
        <v>1.72</v>
      </c>
      <c r="I10">
        <v>0.05</v>
      </c>
      <c r="J10">
        <v>0</v>
      </c>
      <c r="L10" s="1">
        <f t="shared" si="1"/>
        <v>115.25891999999982</v>
      </c>
      <c r="M10">
        <v>1.77</v>
      </c>
      <c r="N10">
        <v>118.61</v>
      </c>
      <c r="O10" t="s">
        <v>200</v>
      </c>
      <c r="P10">
        <v>22355</v>
      </c>
    </row>
    <row r="11" spans="1:16" x14ac:dyDescent="0.25">
      <c r="A11" t="s">
        <v>111</v>
      </c>
      <c r="B11" t="s">
        <v>17</v>
      </c>
      <c r="C11" t="s">
        <v>494</v>
      </c>
      <c r="D11" t="s">
        <v>495</v>
      </c>
      <c r="E11" t="s">
        <v>20</v>
      </c>
      <c r="F11">
        <v>43.762999999999899</v>
      </c>
      <c r="G11" t="s">
        <v>21</v>
      </c>
      <c r="H11">
        <f t="shared" si="0"/>
        <v>1.72</v>
      </c>
      <c r="I11">
        <v>0.05</v>
      </c>
      <c r="J11">
        <v>0</v>
      </c>
      <c r="L11" s="1">
        <f t="shared" si="1"/>
        <v>75.272359999999821</v>
      </c>
      <c r="M11">
        <v>1.77</v>
      </c>
      <c r="N11">
        <v>77.459999999999994</v>
      </c>
      <c r="O11" t="s">
        <v>508</v>
      </c>
      <c r="P11">
        <v>87889</v>
      </c>
    </row>
    <row r="12" spans="1:16" x14ac:dyDescent="0.25">
      <c r="A12" t="s">
        <v>114</v>
      </c>
      <c r="B12" t="s">
        <v>17</v>
      </c>
      <c r="C12" t="s">
        <v>494</v>
      </c>
      <c r="D12" t="s">
        <v>495</v>
      </c>
      <c r="E12" t="s">
        <v>20</v>
      </c>
      <c r="F12">
        <v>43.478000000000002</v>
      </c>
      <c r="G12" t="s">
        <v>21</v>
      </c>
      <c r="H12">
        <f t="shared" si="0"/>
        <v>1.75</v>
      </c>
      <c r="I12">
        <v>0.05</v>
      </c>
      <c r="J12">
        <v>0</v>
      </c>
      <c r="L12" s="1">
        <f t="shared" si="1"/>
        <v>76.086500000000001</v>
      </c>
      <c r="M12">
        <v>1.8</v>
      </c>
      <c r="N12">
        <v>78.260000000000005</v>
      </c>
      <c r="O12" t="s">
        <v>509</v>
      </c>
      <c r="P12">
        <v>88724</v>
      </c>
    </row>
    <row r="13" spans="1:16" x14ac:dyDescent="0.25">
      <c r="A13" t="s">
        <v>70</v>
      </c>
      <c r="B13" t="s">
        <v>17</v>
      </c>
      <c r="C13" t="s">
        <v>498</v>
      </c>
      <c r="D13" t="s">
        <v>499</v>
      </c>
      <c r="E13" t="s">
        <v>20</v>
      </c>
      <c r="F13">
        <v>69.480999999999895</v>
      </c>
      <c r="G13" t="s">
        <v>21</v>
      </c>
      <c r="H13">
        <f t="shared" si="0"/>
        <v>1.76</v>
      </c>
      <c r="I13">
        <v>0.05</v>
      </c>
      <c r="J13">
        <v>0</v>
      </c>
      <c r="L13" s="1">
        <f t="shared" si="1"/>
        <v>122.28655999999981</v>
      </c>
      <c r="M13">
        <v>1.81</v>
      </c>
      <c r="N13">
        <v>125.76</v>
      </c>
      <c r="O13" t="s">
        <v>510</v>
      </c>
      <c r="P13">
        <v>26937</v>
      </c>
    </row>
    <row r="14" spans="1:16" x14ac:dyDescent="0.25">
      <c r="A14" t="s">
        <v>70</v>
      </c>
      <c r="B14" t="s">
        <v>17</v>
      </c>
      <c r="C14" t="s">
        <v>498</v>
      </c>
      <c r="D14" t="s">
        <v>499</v>
      </c>
      <c r="E14" t="s">
        <v>209</v>
      </c>
      <c r="F14">
        <v>1</v>
      </c>
      <c r="G14" t="s">
        <v>210</v>
      </c>
      <c r="H14">
        <f t="shared" si="0"/>
        <v>9.49</v>
      </c>
      <c r="I14">
        <v>0</v>
      </c>
      <c r="J14">
        <v>0</v>
      </c>
      <c r="L14" s="1">
        <f t="shared" si="1"/>
        <v>9.49</v>
      </c>
      <c r="M14">
        <v>9.49</v>
      </c>
      <c r="N14">
        <v>9.49</v>
      </c>
      <c r="O14" t="s">
        <v>510</v>
      </c>
      <c r="P14">
        <v>26937</v>
      </c>
    </row>
    <row r="15" spans="1:16" x14ac:dyDescent="0.25">
      <c r="A15" t="s">
        <v>243</v>
      </c>
      <c r="B15" t="s">
        <v>17</v>
      </c>
      <c r="C15" t="s">
        <v>494</v>
      </c>
      <c r="D15" t="s">
        <v>495</v>
      </c>
      <c r="E15" t="s">
        <v>20</v>
      </c>
      <c r="F15">
        <v>43.731000000000002</v>
      </c>
      <c r="G15" t="s">
        <v>21</v>
      </c>
      <c r="H15">
        <f t="shared" si="0"/>
        <v>1.77</v>
      </c>
      <c r="I15">
        <v>0.05</v>
      </c>
      <c r="J15">
        <v>0</v>
      </c>
      <c r="L15" s="1">
        <f t="shared" si="1"/>
        <v>77.403869999999998</v>
      </c>
      <c r="M15">
        <v>1.82</v>
      </c>
      <c r="N15">
        <v>79.59</v>
      </c>
      <c r="O15" t="s">
        <v>511</v>
      </c>
      <c r="P15">
        <v>89587</v>
      </c>
    </row>
    <row r="16" spans="1:16" x14ac:dyDescent="0.25">
      <c r="A16" t="s">
        <v>82</v>
      </c>
      <c r="B16" t="s">
        <v>17</v>
      </c>
      <c r="C16" t="s">
        <v>501</v>
      </c>
      <c r="D16" t="s">
        <v>502</v>
      </c>
      <c r="E16" t="s">
        <v>20</v>
      </c>
      <c r="F16">
        <v>78.230999999999895</v>
      </c>
      <c r="G16" t="s">
        <v>21</v>
      </c>
      <c r="H16">
        <f t="shared" si="0"/>
        <v>1.77</v>
      </c>
      <c r="I16">
        <v>0.05</v>
      </c>
      <c r="J16">
        <v>0</v>
      </c>
      <c r="L16" s="1">
        <f t="shared" si="1"/>
        <v>138.46886999999981</v>
      </c>
      <c r="M16">
        <v>1.82</v>
      </c>
      <c r="N16">
        <v>142.38</v>
      </c>
      <c r="O16" t="s">
        <v>512</v>
      </c>
      <c r="P16">
        <v>12120</v>
      </c>
    </row>
    <row r="17" spans="1:16" x14ac:dyDescent="0.25">
      <c r="A17" t="s">
        <v>82</v>
      </c>
      <c r="B17" t="s">
        <v>17</v>
      </c>
      <c r="C17" t="s">
        <v>501</v>
      </c>
      <c r="D17" t="s">
        <v>502</v>
      </c>
      <c r="E17" t="s">
        <v>209</v>
      </c>
      <c r="F17">
        <v>1</v>
      </c>
      <c r="G17" t="s">
        <v>210</v>
      </c>
      <c r="H17">
        <f t="shared" si="0"/>
        <v>9.49</v>
      </c>
      <c r="I17">
        <v>0</v>
      </c>
      <c r="J17">
        <v>0</v>
      </c>
      <c r="L17" s="1">
        <f t="shared" si="1"/>
        <v>9.49</v>
      </c>
      <c r="M17">
        <v>9.49</v>
      </c>
      <c r="N17">
        <v>9.49</v>
      </c>
      <c r="O17" t="s">
        <v>512</v>
      </c>
      <c r="P17">
        <v>12120</v>
      </c>
    </row>
    <row r="18" spans="1:16" x14ac:dyDescent="0.25">
      <c r="A18" t="s">
        <v>16</v>
      </c>
      <c r="B18" t="s">
        <v>17</v>
      </c>
      <c r="C18" t="s">
        <v>513</v>
      </c>
      <c r="D18" t="s">
        <v>514</v>
      </c>
      <c r="E18" t="s">
        <v>20</v>
      </c>
      <c r="F18">
        <v>80.7289999999999</v>
      </c>
      <c r="G18" t="s">
        <v>21</v>
      </c>
      <c r="H18">
        <f t="shared" si="0"/>
        <v>1.76</v>
      </c>
      <c r="I18">
        <v>0.05</v>
      </c>
      <c r="J18">
        <v>0</v>
      </c>
      <c r="L18" s="1">
        <f t="shared" si="1"/>
        <v>142.08303999999981</v>
      </c>
      <c r="M18">
        <v>1.81</v>
      </c>
      <c r="N18">
        <v>146.12</v>
      </c>
      <c r="O18" t="s">
        <v>515</v>
      </c>
      <c r="P18">
        <v>180928</v>
      </c>
    </row>
    <row r="19" spans="1:16" x14ac:dyDescent="0.25">
      <c r="A19" t="s">
        <v>86</v>
      </c>
      <c r="B19" t="s">
        <v>17</v>
      </c>
      <c r="C19" t="s">
        <v>498</v>
      </c>
      <c r="D19" t="s">
        <v>499</v>
      </c>
      <c r="E19" t="s">
        <v>20</v>
      </c>
      <c r="F19">
        <v>69.1099999999999</v>
      </c>
      <c r="G19" t="s">
        <v>21</v>
      </c>
      <c r="H19">
        <f t="shared" si="0"/>
        <v>1.76</v>
      </c>
      <c r="I19">
        <v>0.05</v>
      </c>
      <c r="J19">
        <v>0</v>
      </c>
      <c r="L19" s="1">
        <f t="shared" si="1"/>
        <v>121.63359999999983</v>
      </c>
      <c r="M19">
        <v>1.81</v>
      </c>
      <c r="N19">
        <v>125.09</v>
      </c>
      <c r="O19" t="s">
        <v>516</v>
      </c>
      <c r="P19">
        <v>27540</v>
      </c>
    </row>
    <row r="20" spans="1:16" x14ac:dyDescent="0.25">
      <c r="A20" t="s">
        <v>151</v>
      </c>
      <c r="B20" t="s">
        <v>17</v>
      </c>
      <c r="C20" t="s">
        <v>494</v>
      </c>
      <c r="D20" t="s">
        <v>495</v>
      </c>
      <c r="E20" t="s">
        <v>20</v>
      </c>
      <c r="F20">
        <v>40.378</v>
      </c>
      <c r="G20" t="s">
        <v>21</v>
      </c>
      <c r="H20">
        <f t="shared" si="0"/>
        <v>1.75</v>
      </c>
      <c r="I20">
        <v>0.05</v>
      </c>
      <c r="J20">
        <v>0</v>
      </c>
      <c r="K20">
        <v>4.2</v>
      </c>
      <c r="L20" s="1">
        <f t="shared" si="1"/>
        <v>70.661500000000004</v>
      </c>
      <c r="M20">
        <v>1.8</v>
      </c>
      <c r="N20">
        <v>72.680000000000007</v>
      </c>
      <c r="O20" t="s">
        <v>517</v>
      </c>
      <c r="P20">
        <v>90390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P13"/>
  <sheetViews>
    <sheetView workbookViewId="0">
      <selection activeCell="L2" sqref="L2:L13"/>
    </sheetView>
  </sheetViews>
  <sheetFormatPr defaultRowHeight="15" x14ac:dyDescent="0.25"/>
  <cols>
    <col min="1" max="1" width="10.42578125" bestFit="1" customWidth="1"/>
    <col min="2" max="2" width="27.5703125" bestFit="1" customWidth="1"/>
    <col min="3" max="3" width="9" bestFit="1" customWidth="1"/>
    <col min="4" max="4" width="18.28515625" bestFit="1" customWidth="1"/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</v>
      </c>
      <c r="B2" t="s">
        <v>130</v>
      </c>
      <c r="C2" t="s">
        <v>518</v>
      </c>
      <c r="D2" t="s">
        <v>519</v>
      </c>
      <c r="E2" t="s">
        <v>20</v>
      </c>
      <c r="F2">
        <v>22.442</v>
      </c>
      <c r="G2" t="s">
        <v>21</v>
      </c>
      <c r="H2">
        <v>1.65</v>
      </c>
      <c r="I2">
        <v>0</v>
      </c>
      <c r="J2">
        <v>0</v>
      </c>
      <c r="K2">
        <v>7.0000000000000007E-2</v>
      </c>
      <c r="L2">
        <v>37.03</v>
      </c>
      <c r="M2">
        <v>1.72</v>
      </c>
      <c r="N2">
        <v>38.6</v>
      </c>
      <c r="O2" t="s">
        <v>50</v>
      </c>
      <c r="P2">
        <v>0</v>
      </c>
    </row>
    <row r="3" spans="1:16" x14ac:dyDescent="0.25">
      <c r="A3" t="s">
        <v>107</v>
      </c>
      <c r="B3" t="s">
        <v>17</v>
      </c>
      <c r="C3" t="s">
        <v>520</v>
      </c>
      <c r="D3" t="s">
        <v>521</v>
      </c>
      <c r="E3" t="s">
        <v>30</v>
      </c>
      <c r="F3">
        <v>52.219999999999899</v>
      </c>
      <c r="G3" t="s">
        <v>21</v>
      </c>
      <c r="H3">
        <v>1.43</v>
      </c>
      <c r="I3">
        <v>0</v>
      </c>
      <c r="J3">
        <v>0.03</v>
      </c>
      <c r="K3">
        <v>1.57</v>
      </c>
      <c r="L3">
        <v>74.67</v>
      </c>
      <c r="M3">
        <v>1.5</v>
      </c>
      <c r="N3">
        <v>78.33</v>
      </c>
      <c r="O3" t="s">
        <v>218</v>
      </c>
      <c r="P3">
        <v>0</v>
      </c>
    </row>
    <row r="4" spans="1:16" x14ac:dyDescent="0.25">
      <c r="A4" t="s">
        <v>332</v>
      </c>
      <c r="B4" t="s">
        <v>281</v>
      </c>
      <c r="C4" t="s">
        <v>422</v>
      </c>
      <c r="D4" t="s">
        <v>522</v>
      </c>
      <c r="E4" t="s">
        <v>30</v>
      </c>
      <c r="F4">
        <v>18.5</v>
      </c>
      <c r="G4" t="s">
        <v>21</v>
      </c>
      <c r="H4">
        <v>1.43</v>
      </c>
      <c r="I4">
        <v>0</v>
      </c>
      <c r="J4">
        <v>0.03</v>
      </c>
      <c r="K4">
        <v>0.55000000000000004</v>
      </c>
      <c r="L4">
        <v>26.46</v>
      </c>
      <c r="M4">
        <v>1.52</v>
      </c>
      <c r="N4">
        <v>28.12</v>
      </c>
      <c r="O4" t="s">
        <v>523</v>
      </c>
      <c r="P4">
        <v>0</v>
      </c>
    </row>
    <row r="5" spans="1:16" x14ac:dyDescent="0.25">
      <c r="A5" t="s">
        <v>332</v>
      </c>
      <c r="B5" t="s">
        <v>242</v>
      </c>
      <c r="C5" t="s">
        <v>422</v>
      </c>
      <c r="D5" t="s">
        <v>522</v>
      </c>
      <c r="E5" t="s">
        <v>30</v>
      </c>
      <c r="F5">
        <v>25.02</v>
      </c>
      <c r="G5" t="s">
        <v>21</v>
      </c>
      <c r="H5">
        <v>1.43</v>
      </c>
      <c r="I5">
        <v>0</v>
      </c>
      <c r="J5">
        <v>0.03</v>
      </c>
      <c r="K5">
        <v>0.75</v>
      </c>
      <c r="L5">
        <v>35.78</v>
      </c>
      <c r="M5">
        <v>1.52</v>
      </c>
      <c r="N5">
        <v>38.03</v>
      </c>
      <c r="O5" t="s">
        <v>524</v>
      </c>
      <c r="P5">
        <v>0</v>
      </c>
    </row>
    <row r="6" spans="1:16" x14ac:dyDescent="0.25">
      <c r="A6" t="s">
        <v>136</v>
      </c>
      <c r="B6" t="s">
        <v>17</v>
      </c>
      <c r="C6" t="s">
        <v>422</v>
      </c>
      <c r="D6" t="s">
        <v>522</v>
      </c>
      <c r="E6" t="s">
        <v>30</v>
      </c>
      <c r="F6">
        <v>28.702000000000002</v>
      </c>
      <c r="G6" t="s">
        <v>21</v>
      </c>
      <c r="H6">
        <v>1.44</v>
      </c>
      <c r="I6">
        <v>0</v>
      </c>
      <c r="J6">
        <v>0.03</v>
      </c>
      <c r="K6">
        <v>0.86</v>
      </c>
      <c r="L6">
        <v>41.33</v>
      </c>
      <c r="M6">
        <v>1.51</v>
      </c>
      <c r="N6">
        <v>43.34</v>
      </c>
      <c r="O6" t="s">
        <v>525</v>
      </c>
      <c r="P6">
        <v>0</v>
      </c>
    </row>
    <row r="7" spans="1:16" x14ac:dyDescent="0.25">
      <c r="A7" t="s">
        <v>449</v>
      </c>
      <c r="B7" t="s">
        <v>17</v>
      </c>
      <c r="C7" t="s">
        <v>422</v>
      </c>
      <c r="D7" t="s">
        <v>522</v>
      </c>
      <c r="E7" t="s">
        <v>30</v>
      </c>
      <c r="F7">
        <v>20.02</v>
      </c>
      <c r="G7" t="s">
        <v>21</v>
      </c>
      <c r="H7">
        <v>1.43</v>
      </c>
      <c r="I7">
        <v>0</v>
      </c>
      <c r="J7">
        <v>0.03</v>
      </c>
      <c r="K7">
        <v>0.6</v>
      </c>
      <c r="L7">
        <v>28.63</v>
      </c>
      <c r="M7">
        <v>1.51</v>
      </c>
      <c r="N7">
        <v>30.23</v>
      </c>
      <c r="O7" t="s">
        <v>526</v>
      </c>
      <c r="P7">
        <v>0</v>
      </c>
    </row>
    <row r="8" spans="1:16" x14ac:dyDescent="0.25">
      <c r="A8" t="s">
        <v>163</v>
      </c>
      <c r="B8" t="s">
        <v>205</v>
      </c>
      <c r="C8" t="s">
        <v>422</v>
      </c>
      <c r="D8" t="s">
        <v>522</v>
      </c>
      <c r="E8" t="s">
        <v>30</v>
      </c>
      <c r="F8">
        <v>23.553000000000001</v>
      </c>
      <c r="G8" t="s">
        <v>21</v>
      </c>
      <c r="H8">
        <v>1.43</v>
      </c>
      <c r="I8">
        <v>0</v>
      </c>
      <c r="J8">
        <v>0.03</v>
      </c>
      <c r="K8">
        <v>0.71</v>
      </c>
      <c r="L8">
        <v>33.68</v>
      </c>
      <c r="M8">
        <v>1.52</v>
      </c>
      <c r="N8">
        <v>35.799999999999997</v>
      </c>
      <c r="O8" t="s">
        <v>483</v>
      </c>
      <c r="P8">
        <v>0</v>
      </c>
    </row>
    <row r="9" spans="1:16" x14ac:dyDescent="0.25">
      <c r="A9" t="s">
        <v>72</v>
      </c>
      <c r="B9" t="s">
        <v>353</v>
      </c>
      <c r="C9" t="s">
        <v>422</v>
      </c>
      <c r="D9" t="s">
        <v>522</v>
      </c>
      <c r="E9" t="s">
        <v>30</v>
      </c>
      <c r="F9">
        <v>20.803000000000001</v>
      </c>
      <c r="G9" t="s">
        <v>21</v>
      </c>
      <c r="H9">
        <v>1.43</v>
      </c>
      <c r="I9">
        <v>0</v>
      </c>
      <c r="J9">
        <v>0.03</v>
      </c>
      <c r="K9">
        <v>0.62</v>
      </c>
      <c r="L9">
        <v>29.75</v>
      </c>
      <c r="M9">
        <v>1.52</v>
      </c>
      <c r="N9">
        <v>31.62</v>
      </c>
      <c r="O9" t="s">
        <v>527</v>
      </c>
      <c r="P9">
        <v>0</v>
      </c>
    </row>
    <row r="10" spans="1:16" x14ac:dyDescent="0.25">
      <c r="A10" t="s">
        <v>77</v>
      </c>
      <c r="B10" t="s">
        <v>32</v>
      </c>
      <c r="C10" t="s">
        <v>518</v>
      </c>
      <c r="D10" t="s">
        <v>519</v>
      </c>
      <c r="E10" t="s">
        <v>20</v>
      </c>
      <c r="F10">
        <v>17.9119999999999</v>
      </c>
      <c r="G10" t="s">
        <v>21</v>
      </c>
      <c r="H10">
        <v>1.73</v>
      </c>
      <c r="I10">
        <v>0</v>
      </c>
      <c r="J10">
        <v>0.02</v>
      </c>
      <c r="K10">
        <v>0.36</v>
      </c>
      <c r="L10">
        <v>30.99</v>
      </c>
      <c r="M10">
        <v>1.82</v>
      </c>
      <c r="N10">
        <v>32.6</v>
      </c>
      <c r="O10" t="s">
        <v>528</v>
      </c>
      <c r="P10">
        <v>0</v>
      </c>
    </row>
    <row r="11" spans="1:16" x14ac:dyDescent="0.25">
      <c r="A11" t="s">
        <v>77</v>
      </c>
      <c r="B11" t="s">
        <v>130</v>
      </c>
      <c r="C11" t="s">
        <v>518</v>
      </c>
      <c r="D11" t="s">
        <v>519</v>
      </c>
      <c r="E11" t="s">
        <v>20</v>
      </c>
      <c r="F11">
        <v>80.379000000000005</v>
      </c>
      <c r="G11" t="s">
        <v>21</v>
      </c>
      <c r="H11">
        <v>1.73</v>
      </c>
      <c r="I11">
        <v>0</v>
      </c>
      <c r="J11">
        <v>0.02</v>
      </c>
      <c r="K11">
        <v>1.61</v>
      </c>
      <c r="L11">
        <v>139.06</v>
      </c>
      <c r="M11">
        <v>1.82</v>
      </c>
      <c r="N11">
        <v>146.29</v>
      </c>
      <c r="O11" t="s">
        <v>50</v>
      </c>
      <c r="P11">
        <v>0</v>
      </c>
    </row>
    <row r="12" spans="1:16" x14ac:dyDescent="0.25">
      <c r="A12" t="s">
        <v>82</v>
      </c>
      <c r="B12" t="s">
        <v>17</v>
      </c>
      <c r="C12" t="s">
        <v>520</v>
      </c>
      <c r="D12" t="s">
        <v>521</v>
      </c>
      <c r="E12" t="s">
        <v>30</v>
      </c>
      <c r="F12">
        <v>51.762</v>
      </c>
      <c r="G12" t="s">
        <v>21</v>
      </c>
      <c r="H12">
        <v>1.42</v>
      </c>
      <c r="I12">
        <v>0</v>
      </c>
      <c r="J12">
        <v>0.03</v>
      </c>
      <c r="K12">
        <v>1.55</v>
      </c>
      <c r="L12">
        <v>73.5</v>
      </c>
      <c r="M12">
        <v>1.51</v>
      </c>
      <c r="N12">
        <v>78.16</v>
      </c>
      <c r="O12" t="s">
        <v>259</v>
      </c>
      <c r="P12">
        <v>0</v>
      </c>
    </row>
    <row r="13" spans="1:16" x14ac:dyDescent="0.25">
      <c r="A13" t="s">
        <v>23</v>
      </c>
      <c r="B13" t="s">
        <v>32</v>
      </c>
      <c r="C13" t="s">
        <v>529</v>
      </c>
      <c r="D13" t="s">
        <v>530</v>
      </c>
      <c r="E13" t="s">
        <v>64</v>
      </c>
      <c r="F13">
        <v>44.9119999999999</v>
      </c>
      <c r="G13" t="s">
        <v>21</v>
      </c>
      <c r="H13">
        <v>2.0499999999999998</v>
      </c>
      <c r="I13">
        <v>0</v>
      </c>
      <c r="J13">
        <v>0</v>
      </c>
      <c r="L13">
        <v>92.07</v>
      </c>
      <c r="M13">
        <v>2.0499999999999998</v>
      </c>
      <c r="N13">
        <v>92.07</v>
      </c>
      <c r="O13" t="s">
        <v>531</v>
      </c>
      <c r="P13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P10"/>
  <sheetViews>
    <sheetView workbookViewId="0">
      <selection activeCell="L2" sqref="L2:L1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427</v>
      </c>
      <c r="B2" t="s">
        <v>17</v>
      </c>
      <c r="C2" t="s">
        <v>532</v>
      </c>
      <c r="D2" t="s">
        <v>533</v>
      </c>
      <c r="E2" t="s">
        <v>20</v>
      </c>
      <c r="F2">
        <v>45.188000000000002</v>
      </c>
      <c r="G2" t="s">
        <v>21</v>
      </c>
      <c r="H2">
        <v>1.69</v>
      </c>
      <c r="I2">
        <v>0</v>
      </c>
      <c r="J2">
        <v>0.01</v>
      </c>
      <c r="K2">
        <v>0.45</v>
      </c>
      <c r="L2">
        <v>76.37</v>
      </c>
      <c r="M2">
        <v>1.76</v>
      </c>
      <c r="N2">
        <v>79.53</v>
      </c>
      <c r="O2" t="s">
        <v>245</v>
      </c>
      <c r="P2">
        <v>0</v>
      </c>
    </row>
    <row r="3" spans="1:16" x14ac:dyDescent="0.25">
      <c r="A3" t="s">
        <v>427</v>
      </c>
      <c r="B3" t="s">
        <v>17</v>
      </c>
      <c r="C3" t="s">
        <v>534</v>
      </c>
      <c r="D3" t="s">
        <v>535</v>
      </c>
      <c r="E3" t="s">
        <v>20</v>
      </c>
      <c r="F3">
        <v>48</v>
      </c>
      <c r="G3" t="s">
        <v>21</v>
      </c>
      <c r="H3">
        <v>1.69</v>
      </c>
      <c r="I3">
        <v>0</v>
      </c>
      <c r="J3">
        <v>0.01</v>
      </c>
      <c r="K3">
        <v>0.48</v>
      </c>
      <c r="L3">
        <v>81.12</v>
      </c>
      <c r="M3">
        <v>1.76</v>
      </c>
      <c r="N3">
        <v>84.48</v>
      </c>
      <c r="O3" t="s">
        <v>73</v>
      </c>
      <c r="P3">
        <v>0</v>
      </c>
    </row>
    <row r="4" spans="1:16" x14ac:dyDescent="0.25">
      <c r="A4" t="s">
        <v>427</v>
      </c>
      <c r="B4" t="s">
        <v>17</v>
      </c>
      <c r="C4" t="s">
        <v>536</v>
      </c>
      <c r="D4" t="s">
        <v>537</v>
      </c>
      <c r="E4" t="s">
        <v>20</v>
      </c>
      <c r="F4">
        <v>54</v>
      </c>
      <c r="G4" t="s">
        <v>21</v>
      </c>
      <c r="H4">
        <v>1.69</v>
      </c>
      <c r="I4">
        <v>0</v>
      </c>
      <c r="J4">
        <v>0.01</v>
      </c>
      <c r="K4">
        <v>0.54</v>
      </c>
      <c r="L4">
        <v>91.26</v>
      </c>
      <c r="M4">
        <v>1.76</v>
      </c>
      <c r="N4">
        <v>95.04</v>
      </c>
      <c r="O4" t="s">
        <v>538</v>
      </c>
      <c r="P4">
        <v>0</v>
      </c>
    </row>
    <row r="5" spans="1:16" x14ac:dyDescent="0.25">
      <c r="A5" t="s">
        <v>427</v>
      </c>
      <c r="B5" t="s">
        <v>103</v>
      </c>
      <c r="C5" t="s">
        <v>539</v>
      </c>
      <c r="D5" t="s">
        <v>540</v>
      </c>
      <c r="E5" t="s">
        <v>20</v>
      </c>
      <c r="F5">
        <v>154.06800000000001</v>
      </c>
      <c r="G5" t="s">
        <v>21</v>
      </c>
      <c r="H5">
        <v>1.69</v>
      </c>
      <c r="I5">
        <v>0</v>
      </c>
      <c r="J5">
        <v>0.01</v>
      </c>
      <c r="K5">
        <v>1.54</v>
      </c>
      <c r="L5">
        <v>260.37</v>
      </c>
      <c r="M5">
        <v>1.76</v>
      </c>
      <c r="N5">
        <v>271.16000000000003</v>
      </c>
      <c r="O5" t="s">
        <v>541</v>
      </c>
      <c r="P5">
        <v>0</v>
      </c>
    </row>
    <row r="6" spans="1:16" x14ac:dyDescent="0.25">
      <c r="A6" t="s">
        <v>70</v>
      </c>
      <c r="B6" t="s">
        <v>17</v>
      </c>
      <c r="C6" t="s">
        <v>534</v>
      </c>
      <c r="D6" t="s">
        <v>535</v>
      </c>
      <c r="E6" t="s">
        <v>20</v>
      </c>
      <c r="F6">
        <v>71</v>
      </c>
      <c r="G6" t="s">
        <v>21</v>
      </c>
      <c r="H6">
        <v>1.76</v>
      </c>
      <c r="I6">
        <v>0</v>
      </c>
      <c r="J6">
        <v>0.02</v>
      </c>
      <c r="K6">
        <v>1.42</v>
      </c>
      <c r="L6">
        <v>124.96</v>
      </c>
      <c r="M6">
        <v>1.81</v>
      </c>
      <c r="N6">
        <v>128.51</v>
      </c>
      <c r="O6" t="s">
        <v>33</v>
      </c>
      <c r="P6">
        <v>0</v>
      </c>
    </row>
    <row r="7" spans="1:16" x14ac:dyDescent="0.25">
      <c r="A7" t="s">
        <v>449</v>
      </c>
      <c r="B7" t="s">
        <v>17</v>
      </c>
      <c r="C7" t="s">
        <v>532</v>
      </c>
      <c r="D7" t="s">
        <v>533</v>
      </c>
      <c r="E7" t="s">
        <v>20</v>
      </c>
      <c r="F7">
        <v>60</v>
      </c>
      <c r="G7" t="s">
        <v>21</v>
      </c>
      <c r="H7">
        <v>1.75</v>
      </c>
      <c r="I7">
        <v>0</v>
      </c>
      <c r="J7">
        <v>0.02</v>
      </c>
      <c r="K7">
        <v>1.2</v>
      </c>
      <c r="L7">
        <v>105</v>
      </c>
      <c r="M7">
        <v>1.82</v>
      </c>
      <c r="N7">
        <v>109.2</v>
      </c>
      <c r="O7" t="s">
        <v>542</v>
      </c>
      <c r="P7">
        <v>0</v>
      </c>
    </row>
    <row r="8" spans="1:16" x14ac:dyDescent="0.25">
      <c r="A8" t="s">
        <v>72</v>
      </c>
      <c r="B8" t="s">
        <v>103</v>
      </c>
      <c r="C8" t="s">
        <v>539</v>
      </c>
      <c r="D8" t="s">
        <v>540</v>
      </c>
      <c r="E8" t="s">
        <v>20</v>
      </c>
      <c r="F8">
        <v>155</v>
      </c>
      <c r="G8" t="s">
        <v>21</v>
      </c>
      <c r="H8">
        <v>1.73</v>
      </c>
      <c r="I8">
        <v>0</v>
      </c>
      <c r="J8">
        <v>0.02</v>
      </c>
      <c r="K8">
        <v>3.1</v>
      </c>
      <c r="L8">
        <v>268.14999999999998</v>
      </c>
      <c r="M8">
        <v>1.82</v>
      </c>
      <c r="N8">
        <v>282.10000000000002</v>
      </c>
      <c r="O8" t="s">
        <v>543</v>
      </c>
      <c r="P8">
        <v>0</v>
      </c>
    </row>
    <row r="9" spans="1:16" x14ac:dyDescent="0.25">
      <c r="A9" t="s">
        <v>16</v>
      </c>
      <c r="B9" t="s">
        <v>103</v>
      </c>
      <c r="C9" t="s">
        <v>534</v>
      </c>
      <c r="D9" t="s">
        <v>535</v>
      </c>
      <c r="E9" t="s">
        <v>20</v>
      </c>
      <c r="F9">
        <v>67</v>
      </c>
      <c r="G9" t="s">
        <v>21</v>
      </c>
      <c r="H9">
        <v>1.69</v>
      </c>
      <c r="I9">
        <v>0</v>
      </c>
      <c r="J9">
        <v>0.02</v>
      </c>
      <c r="K9">
        <v>1.34</v>
      </c>
      <c r="L9">
        <v>113.23</v>
      </c>
      <c r="M9">
        <v>1.81</v>
      </c>
      <c r="N9">
        <v>121.27</v>
      </c>
      <c r="O9" t="s">
        <v>544</v>
      </c>
      <c r="P9">
        <v>0</v>
      </c>
    </row>
    <row r="10" spans="1:16" x14ac:dyDescent="0.25">
      <c r="A10" t="s">
        <v>23</v>
      </c>
      <c r="B10" t="s">
        <v>17</v>
      </c>
      <c r="C10" t="s">
        <v>532</v>
      </c>
      <c r="D10" t="s">
        <v>533</v>
      </c>
      <c r="E10" t="s">
        <v>20</v>
      </c>
      <c r="F10">
        <v>50.427999999999898</v>
      </c>
      <c r="G10" t="s">
        <v>21</v>
      </c>
      <c r="H10">
        <v>1.67</v>
      </c>
      <c r="I10">
        <v>0</v>
      </c>
      <c r="J10">
        <v>0.02</v>
      </c>
      <c r="K10">
        <v>1.01</v>
      </c>
      <c r="L10">
        <v>84.21</v>
      </c>
      <c r="M10">
        <v>1.8</v>
      </c>
      <c r="N10">
        <v>90.77</v>
      </c>
      <c r="O10" t="s">
        <v>545</v>
      </c>
      <c r="P10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P6"/>
  <sheetViews>
    <sheetView workbookViewId="0">
      <selection activeCell="L2" sqref="L2:L6"/>
    </sheetView>
  </sheetViews>
  <sheetFormatPr defaultRowHeight="15" x14ac:dyDescent="0.25"/>
  <cols>
    <col min="5" max="5" width="22.85546875" bestFit="1" customWidth="1"/>
    <col min="12" max="12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86</v>
      </c>
      <c r="B2" t="s">
        <v>17</v>
      </c>
      <c r="C2" t="s">
        <v>546</v>
      </c>
      <c r="D2" t="s">
        <v>547</v>
      </c>
      <c r="E2" t="s">
        <v>20</v>
      </c>
      <c r="F2">
        <v>58.149000000000001</v>
      </c>
      <c r="G2" t="s">
        <v>21</v>
      </c>
      <c r="H2">
        <v>1.78</v>
      </c>
      <c r="I2">
        <v>0.03</v>
      </c>
      <c r="J2">
        <v>0</v>
      </c>
      <c r="K2">
        <v>6.45</v>
      </c>
      <c r="L2">
        <v>103.51</v>
      </c>
      <c r="M2">
        <v>1.81</v>
      </c>
      <c r="N2">
        <v>105.25</v>
      </c>
      <c r="O2" t="s">
        <v>548</v>
      </c>
      <c r="P2">
        <v>0</v>
      </c>
    </row>
    <row r="3" spans="1:16" x14ac:dyDescent="0.25">
      <c r="A3" t="s">
        <v>86</v>
      </c>
      <c r="B3" t="s">
        <v>17</v>
      </c>
      <c r="C3" t="s">
        <v>549</v>
      </c>
      <c r="D3" t="s">
        <v>550</v>
      </c>
      <c r="E3" t="s">
        <v>20</v>
      </c>
      <c r="F3">
        <v>32.149000000000001</v>
      </c>
      <c r="G3" t="s">
        <v>21</v>
      </c>
      <c r="H3">
        <v>1.78</v>
      </c>
      <c r="I3">
        <v>0.03</v>
      </c>
      <c r="J3">
        <v>0</v>
      </c>
      <c r="K3">
        <v>3.57</v>
      </c>
      <c r="L3">
        <v>57.23</v>
      </c>
      <c r="M3">
        <v>1.81</v>
      </c>
      <c r="N3">
        <v>58.19</v>
      </c>
      <c r="O3" t="s">
        <v>517</v>
      </c>
      <c r="P3">
        <v>0</v>
      </c>
    </row>
    <row r="4" spans="1:16" x14ac:dyDescent="0.25">
      <c r="A4" t="s">
        <v>86</v>
      </c>
      <c r="B4" t="s">
        <v>496</v>
      </c>
      <c r="C4" t="s">
        <v>551</v>
      </c>
      <c r="D4" t="s">
        <v>552</v>
      </c>
      <c r="E4" t="s">
        <v>20</v>
      </c>
      <c r="F4">
        <v>42.801000000000002</v>
      </c>
      <c r="G4" t="s">
        <v>21</v>
      </c>
      <c r="H4">
        <v>1.78</v>
      </c>
      <c r="I4">
        <v>0.03</v>
      </c>
      <c r="J4">
        <v>0</v>
      </c>
      <c r="K4">
        <v>4.75</v>
      </c>
      <c r="L4">
        <v>76.19</v>
      </c>
      <c r="M4">
        <v>1.81</v>
      </c>
      <c r="N4">
        <v>77.47</v>
      </c>
      <c r="O4" t="s">
        <v>553</v>
      </c>
      <c r="P4">
        <v>0</v>
      </c>
    </row>
    <row r="5" spans="1:16" x14ac:dyDescent="0.25">
      <c r="A5" t="s">
        <v>151</v>
      </c>
      <c r="B5" t="s">
        <v>103</v>
      </c>
      <c r="C5" t="s">
        <v>554</v>
      </c>
      <c r="D5" t="s">
        <v>555</v>
      </c>
      <c r="E5" t="s">
        <v>20</v>
      </c>
      <c r="F5">
        <v>40</v>
      </c>
      <c r="G5" t="s">
        <v>21</v>
      </c>
      <c r="H5">
        <v>1.77</v>
      </c>
      <c r="I5">
        <v>0.03</v>
      </c>
      <c r="J5">
        <v>0</v>
      </c>
      <c r="K5">
        <v>4.96</v>
      </c>
      <c r="L5">
        <v>70.8</v>
      </c>
      <c r="M5">
        <v>1.8</v>
      </c>
      <c r="N5">
        <v>72</v>
      </c>
      <c r="O5" t="s">
        <v>556</v>
      </c>
      <c r="P5">
        <v>0</v>
      </c>
    </row>
    <row r="6" spans="1:16" x14ac:dyDescent="0.25">
      <c r="A6" t="s">
        <v>23</v>
      </c>
      <c r="B6" t="s">
        <v>17</v>
      </c>
      <c r="C6" t="s">
        <v>557</v>
      </c>
      <c r="D6" t="s">
        <v>558</v>
      </c>
      <c r="E6" t="s">
        <v>30</v>
      </c>
      <c r="F6">
        <v>24.358000000000001</v>
      </c>
      <c r="G6" t="s">
        <v>21</v>
      </c>
      <c r="H6">
        <v>1.48</v>
      </c>
      <c r="I6">
        <v>0.03</v>
      </c>
      <c r="J6">
        <v>0</v>
      </c>
      <c r="K6">
        <v>2.2200000000000002</v>
      </c>
      <c r="L6">
        <v>36.049999999999997</v>
      </c>
      <c r="M6">
        <v>1.51</v>
      </c>
      <c r="N6">
        <v>36.78</v>
      </c>
      <c r="O6" t="s">
        <v>224</v>
      </c>
      <c r="P6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P7"/>
  <sheetViews>
    <sheetView workbookViewId="0">
      <selection activeCell="L2" sqref="L2:L7"/>
    </sheetView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51</v>
      </c>
      <c r="B2" t="s">
        <v>559</v>
      </c>
      <c r="C2" t="s">
        <v>560</v>
      </c>
      <c r="D2" t="s">
        <v>561</v>
      </c>
      <c r="E2" t="s">
        <v>20</v>
      </c>
      <c r="F2">
        <v>410.15300000000002</v>
      </c>
      <c r="G2" t="s">
        <v>21</v>
      </c>
      <c r="H2">
        <v>1.65</v>
      </c>
      <c r="I2">
        <v>0</v>
      </c>
      <c r="J2">
        <v>0</v>
      </c>
      <c r="K2">
        <v>1.23</v>
      </c>
      <c r="L2">
        <v>676.75</v>
      </c>
      <c r="M2">
        <v>1.7</v>
      </c>
      <c r="N2">
        <v>697.26</v>
      </c>
      <c r="O2" t="s">
        <v>562</v>
      </c>
      <c r="P2">
        <v>0</v>
      </c>
    </row>
    <row r="3" spans="1:16" x14ac:dyDescent="0.25">
      <c r="A3" t="s">
        <v>56</v>
      </c>
      <c r="B3" t="s">
        <v>17</v>
      </c>
      <c r="C3" t="s">
        <v>563</v>
      </c>
      <c r="D3" t="s">
        <v>564</v>
      </c>
      <c r="E3" t="s">
        <v>20</v>
      </c>
      <c r="F3">
        <v>389.08100000000002</v>
      </c>
      <c r="G3" t="s">
        <v>21</v>
      </c>
      <c r="H3">
        <v>1.65</v>
      </c>
      <c r="I3">
        <v>0</v>
      </c>
      <c r="J3">
        <v>0</v>
      </c>
      <c r="K3">
        <v>1.17</v>
      </c>
      <c r="L3">
        <v>641.98</v>
      </c>
      <c r="M3">
        <v>1.72</v>
      </c>
      <c r="N3">
        <v>669.22</v>
      </c>
      <c r="O3" t="s">
        <v>76</v>
      </c>
      <c r="P3">
        <v>0</v>
      </c>
    </row>
    <row r="4" spans="1:16" x14ac:dyDescent="0.25">
      <c r="A4" t="s">
        <v>56</v>
      </c>
      <c r="B4" t="s">
        <v>17</v>
      </c>
      <c r="C4" t="s">
        <v>565</v>
      </c>
      <c r="D4" t="s">
        <v>566</v>
      </c>
      <c r="E4" t="s">
        <v>20</v>
      </c>
      <c r="F4">
        <v>515.029</v>
      </c>
      <c r="G4" t="s">
        <v>21</v>
      </c>
      <c r="H4">
        <v>1.65</v>
      </c>
      <c r="I4">
        <v>0</v>
      </c>
      <c r="J4">
        <v>0</v>
      </c>
      <c r="K4">
        <v>1.55</v>
      </c>
      <c r="L4">
        <v>849.8</v>
      </c>
      <c r="M4">
        <v>1.72</v>
      </c>
      <c r="N4">
        <v>885.85</v>
      </c>
      <c r="O4" t="s">
        <v>497</v>
      </c>
      <c r="P4">
        <v>0</v>
      </c>
    </row>
    <row r="5" spans="1:16" x14ac:dyDescent="0.25">
      <c r="A5" t="s">
        <v>56</v>
      </c>
      <c r="B5" t="s">
        <v>17</v>
      </c>
      <c r="C5" t="s">
        <v>567</v>
      </c>
      <c r="D5" t="s">
        <v>568</v>
      </c>
      <c r="E5" t="s">
        <v>20</v>
      </c>
      <c r="F5">
        <v>680.029</v>
      </c>
      <c r="G5" t="s">
        <v>21</v>
      </c>
      <c r="H5">
        <v>1.65</v>
      </c>
      <c r="I5">
        <v>0</v>
      </c>
      <c r="J5">
        <v>0</v>
      </c>
      <c r="K5">
        <v>2.04</v>
      </c>
      <c r="L5">
        <v>1122.05</v>
      </c>
      <c r="M5">
        <v>1.72</v>
      </c>
      <c r="N5">
        <v>1169.6500000000001</v>
      </c>
      <c r="O5" t="s">
        <v>569</v>
      </c>
      <c r="P5">
        <v>0</v>
      </c>
    </row>
    <row r="6" spans="1:16" x14ac:dyDescent="0.25">
      <c r="A6" t="s">
        <v>56</v>
      </c>
      <c r="B6" t="s">
        <v>363</v>
      </c>
      <c r="C6" t="s">
        <v>570</v>
      </c>
      <c r="D6" t="s">
        <v>571</v>
      </c>
      <c r="E6" t="s">
        <v>20</v>
      </c>
      <c r="F6">
        <v>400.012</v>
      </c>
      <c r="G6" t="s">
        <v>21</v>
      </c>
      <c r="H6">
        <v>1.65</v>
      </c>
      <c r="I6">
        <v>0</v>
      </c>
      <c r="J6">
        <v>0</v>
      </c>
      <c r="K6">
        <v>1.2</v>
      </c>
      <c r="L6">
        <v>660.02</v>
      </c>
      <c r="M6">
        <v>1.72</v>
      </c>
      <c r="N6">
        <v>688.02</v>
      </c>
      <c r="O6" t="s">
        <v>572</v>
      </c>
      <c r="P6">
        <v>0</v>
      </c>
    </row>
    <row r="7" spans="1:16" x14ac:dyDescent="0.25">
      <c r="A7" t="s">
        <v>151</v>
      </c>
      <c r="B7" t="s">
        <v>386</v>
      </c>
      <c r="C7" t="s">
        <v>573</v>
      </c>
      <c r="D7" t="s">
        <v>574</v>
      </c>
      <c r="E7" t="s">
        <v>20</v>
      </c>
      <c r="F7">
        <v>100</v>
      </c>
      <c r="G7" t="s">
        <v>21</v>
      </c>
      <c r="H7">
        <v>1.67</v>
      </c>
      <c r="I7">
        <v>0</v>
      </c>
      <c r="J7">
        <v>0.02</v>
      </c>
      <c r="K7">
        <v>2</v>
      </c>
      <c r="L7">
        <v>167</v>
      </c>
      <c r="M7">
        <v>1.8</v>
      </c>
      <c r="N7">
        <v>180</v>
      </c>
      <c r="O7" t="s">
        <v>575</v>
      </c>
      <c r="P7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"/>
  <sheetViews>
    <sheetView tabSelected="1" topLeftCell="A10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576</v>
      </c>
      <c r="C2" t="s">
        <v>577</v>
      </c>
      <c r="D2" t="s">
        <v>578</v>
      </c>
      <c r="E2" t="s">
        <v>20</v>
      </c>
      <c r="F2">
        <v>201.012</v>
      </c>
      <c r="G2" t="s">
        <v>21</v>
      </c>
      <c r="H2">
        <v>1.7</v>
      </c>
      <c r="I2">
        <v>0</v>
      </c>
      <c r="J2">
        <v>0</v>
      </c>
      <c r="L2">
        <v>341.72</v>
      </c>
      <c r="M2">
        <v>1.7</v>
      </c>
      <c r="N2">
        <v>341.72</v>
      </c>
      <c r="O2" t="s">
        <v>579</v>
      </c>
      <c r="P2">
        <v>0</v>
      </c>
    </row>
    <row r="3" spans="1:16" x14ac:dyDescent="0.25">
      <c r="A3" t="s">
        <v>51</v>
      </c>
      <c r="B3" t="s">
        <v>580</v>
      </c>
      <c r="C3" t="s">
        <v>577</v>
      </c>
      <c r="D3" t="s">
        <v>578</v>
      </c>
      <c r="E3" t="s">
        <v>20</v>
      </c>
      <c r="F3">
        <v>200.012</v>
      </c>
      <c r="G3" t="s">
        <v>21</v>
      </c>
      <c r="H3">
        <v>1.7</v>
      </c>
      <c r="I3">
        <v>0</v>
      </c>
      <c r="J3">
        <v>0</v>
      </c>
      <c r="L3">
        <v>340.02</v>
      </c>
      <c r="M3">
        <v>1.7</v>
      </c>
      <c r="N3">
        <v>340.02</v>
      </c>
      <c r="O3" t="s">
        <v>581</v>
      </c>
      <c r="P3">
        <v>0</v>
      </c>
    </row>
    <row r="4" spans="1:16" x14ac:dyDescent="0.25">
      <c r="A4" t="s">
        <v>56</v>
      </c>
      <c r="B4" t="s">
        <v>576</v>
      </c>
      <c r="C4" t="s">
        <v>577</v>
      </c>
      <c r="D4" t="s">
        <v>578</v>
      </c>
      <c r="E4" t="s">
        <v>20</v>
      </c>
      <c r="F4">
        <v>100</v>
      </c>
      <c r="G4" t="s">
        <v>21</v>
      </c>
      <c r="H4">
        <v>1.73</v>
      </c>
      <c r="I4">
        <v>0</v>
      </c>
      <c r="J4">
        <v>0</v>
      </c>
      <c r="L4">
        <v>173</v>
      </c>
      <c r="M4">
        <v>1.73</v>
      </c>
      <c r="N4">
        <v>173</v>
      </c>
      <c r="O4" t="s">
        <v>582</v>
      </c>
      <c r="P4">
        <v>0</v>
      </c>
    </row>
    <row r="5" spans="1:16" x14ac:dyDescent="0.25">
      <c r="A5" t="s">
        <v>56</v>
      </c>
      <c r="B5" t="s">
        <v>576</v>
      </c>
      <c r="C5" t="s">
        <v>583</v>
      </c>
      <c r="D5" t="s">
        <v>584</v>
      </c>
      <c r="E5" t="s">
        <v>20</v>
      </c>
      <c r="F5">
        <v>148.358</v>
      </c>
      <c r="G5" t="s">
        <v>21</v>
      </c>
      <c r="H5">
        <v>1.73</v>
      </c>
      <c r="I5">
        <v>0</v>
      </c>
      <c r="J5">
        <v>0</v>
      </c>
      <c r="L5">
        <v>256.66000000000003</v>
      </c>
      <c r="M5">
        <v>1.73</v>
      </c>
      <c r="N5">
        <v>256.66000000000003</v>
      </c>
      <c r="O5" t="s">
        <v>585</v>
      </c>
      <c r="P5">
        <v>0</v>
      </c>
    </row>
    <row r="6" spans="1:16" x14ac:dyDescent="0.25">
      <c r="A6" t="s">
        <v>185</v>
      </c>
      <c r="B6" t="s">
        <v>576</v>
      </c>
      <c r="C6" t="s">
        <v>577</v>
      </c>
      <c r="D6" t="s">
        <v>578</v>
      </c>
      <c r="E6" t="s">
        <v>20</v>
      </c>
      <c r="F6">
        <v>125.04</v>
      </c>
      <c r="G6" t="s">
        <v>21</v>
      </c>
      <c r="H6">
        <v>1.72</v>
      </c>
      <c r="I6">
        <v>0</v>
      </c>
      <c r="J6">
        <v>0</v>
      </c>
      <c r="K6">
        <v>-0.5</v>
      </c>
      <c r="L6">
        <v>215.07</v>
      </c>
      <c r="M6">
        <v>1.76</v>
      </c>
      <c r="N6">
        <v>220.07</v>
      </c>
      <c r="O6" t="s">
        <v>586</v>
      </c>
      <c r="P6">
        <v>0</v>
      </c>
    </row>
    <row r="7" spans="1:16" x14ac:dyDescent="0.25">
      <c r="A7" t="s">
        <v>58</v>
      </c>
      <c r="B7" t="s">
        <v>576</v>
      </c>
      <c r="C7" t="s">
        <v>583</v>
      </c>
      <c r="D7" t="s">
        <v>584</v>
      </c>
      <c r="E7" t="s">
        <v>20</v>
      </c>
      <c r="F7">
        <v>210.80099999999899</v>
      </c>
      <c r="G7" t="s">
        <v>21</v>
      </c>
      <c r="H7">
        <v>1.72</v>
      </c>
      <c r="I7">
        <v>0</v>
      </c>
      <c r="J7">
        <v>0</v>
      </c>
      <c r="K7">
        <v>-0.84</v>
      </c>
      <c r="L7">
        <v>362.58</v>
      </c>
      <c r="M7">
        <v>1.76</v>
      </c>
      <c r="N7">
        <v>371.01</v>
      </c>
      <c r="O7" t="s">
        <v>587</v>
      </c>
      <c r="P7">
        <v>0</v>
      </c>
    </row>
    <row r="8" spans="1:16" x14ac:dyDescent="0.25">
      <c r="A8" t="s">
        <v>111</v>
      </c>
      <c r="B8" t="s">
        <v>576</v>
      </c>
      <c r="C8" t="s">
        <v>577</v>
      </c>
      <c r="D8" t="s">
        <v>578</v>
      </c>
      <c r="E8" t="s">
        <v>20</v>
      </c>
      <c r="F8">
        <v>144.236999999999</v>
      </c>
      <c r="G8" t="s">
        <v>21</v>
      </c>
      <c r="H8">
        <v>1.72</v>
      </c>
      <c r="I8">
        <v>0</v>
      </c>
      <c r="J8">
        <v>0</v>
      </c>
      <c r="K8">
        <v>-0.57999999999999996</v>
      </c>
      <c r="L8">
        <v>248.09</v>
      </c>
      <c r="M8">
        <v>1.77</v>
      </c>
      <c r="N8">
        <v>255.3</v>
      </c>
      <c r="O8" t="s">
        <v>588</v>
      </c>
      <c r="P8">
        <v>0</v>
      </c>
    </row>
    <row r="9" spans="1:16" x14ac:dyDescent="0.25">
      <c r="A9" t="s">
        <v>66</v>
      </c>
      <c r="B9" t="s">
        <v>17</v>
      </c>
      <c r="C9" t="s">
        <v>589</v>
      </c>
      <c r="D9" t="s">
        <v>590</v>
      </c>
      <c r="E9" t="s">
        <v>20</v>
      </c>
      <c r="F9">
        <v>206</v>
      </c>
      <c r="G9" t="s">
        <v>21</v>
      </c>
      <c r="H9">
        <v>1.71</v>
      </c>
      <c r="I9">
        <v>0</v>
      </c>
      <c r="J9">
        <v>0</v>
      </c>
      <c r="K9">
        <v>-0.82</v>
      </c>
      <c r="L9">
        <v>352.26</v>
      </c>
      <c r="M9">
        <v>1.77</v>
      </c>
      <c r="N9">
        <v>364.62</v>
      </c>
      <c r="O9" t="s">
        <v>591</v>
      </c>
      <c r="P9">
        <v>0</v>
      </c>
    </row>
    <row r="10" spans="1:16" x14ac:dyDescent="0.25">
      <c r="A10" t="s">
        <v>324</v>
      </c>
      <c r="B10" t="s">
        <v>17</v>
      </c>
      <c r="C10" t="s">
        <v>589</v>
      </c>
      <c r="D10" t="s">
        <v>590</v>
      </c>
      <c r="E10" t="s">
        <v>20</v>
      </c>
      <c r="F10">
        <v>220</v>
      </c>
      <c r="G10" t="s">
        <v>21</v>
      </c>
      <c r="H10">
        <v>1.71</v>
      </c>
      <c r="I10">
        <v>0</v>
      </c>
      <c r="J10">
        <v>0</v>
      </c>
      <c r="K10">
        <v>-0.88</v>
      </c>
      <c r="L10">
        <v>376.2</v>
      </c>
      <c r="M10">
        <v>1.77</v>
      </c>
      <c r="N10">
        <v>389.4</v>
      </c>
      <c r="O10" t="s">
        <v>592</v>
      </c>
      <c r="P10">
        <v>0</v>
      </c>
    </row>
    <row r="11" spans="1:16" x14ac:dyDescent="0.25">
      <c r="A11" t="s">
        <v>114</v>
      </c>
      <c r="B11" t="s">
        <v>17</v>
      </c>
      <c r="C11" t="s">
        <v>589</v>
      </c>
      <c r="D11" t="s">
        <v>590</v>
      </c>
      <c r="E11" t="s">
        <v>20</v>
      </c>
      <c r="F11">
        <v>170</v>
      </c>
      <c r="G11" t="s">
        <v>21</v>
      </c>
      <c r="H11">
        <v>1.74</v>
      </c>
      <c r="I11">
        <v>0</v>
      </c>
      <c r="J11">
        <v>0</v>
      </c>
      <c r="K11">
        <v>0.68</v>
      </c>
      <c r="L11">
        <v>295.8</v>
      </c>
      <c r="M11">
        <v>1.8</v>
      </c>
      <c r="N11">
        <v>306</v>
      </c>
      <c r="O11" t="s">
        <v>593</v>
      </c>
      <c r="P11">
        <v>0</v>
      </c>
    </row>
    <row r="12" spans="1:16" x14ac:dyDescent="0.25">
      <c r="A12" t="s">
        <v>114</v>
      </c>
      <c r="B12" t="s">
        <v>576</v>
      </c>
      <c r="C12" t="s">
        <v>589</v>
      </c>
      <c r="D12" t="s">
        <v>590</v>
      </c>
      <c r="E12" t="s">
        <v>20</v>
      </c>
      <c r="F12">
        <v>115</v>
      </c>
      <c r="G12" t="s">
        <v>21</v>
      </c>
      <c r="H12">
        <v>1.74</v>
      </c>
      <c r="I12">
        <v>0</v>
      </c>
      <c r="J12">
        <v>0</v>
      </c>
      <c r="K12">
        <v>0.46</v>
      </c>
      <c r="L12">
        <v>200.1</v>
      </c>
      <c r="M12">
        <v>1.8</v>
      </c>
      <c r="N12">
        <v>207</v>
      </c>
      <c r="O12" t="s">
        <v>153</v>
      </c>
      <c r="P12">
        <v>0</v>
      </c>
    </row>
    <row r="13" spans="1:16" x14ac:dyDescent="0.25">
      <c r="A13" t="s">
        <v>141</v>
      </c>
      <c r="B13" t="s">
        <v>293</v>
      </c>
      <c r="C13" t="s">
        <v>577</v>
      </c>
      <c r="D13" t="s">
        <v>578</v>
      </c>
      <c r="E13" t="s">
        <v>20</v>
      </c>
      <c r="F13">
        <v>210</v>
      </c>
      <c r="G13" t="s">
        <v>21</v>
      </c>
      <c r="H13">
        <v>1.73</v>
      </c>
      <c r="I13">
        <v>0</v>
      </c>
      <c r="J13">
        <v>0</v>
      </c>
      <c r="K13">
        <v>0.42</v>
      </c>
      <c r="L13">
        <v>363.3</v>
      </c>
      <c r="M13">
        <v>1.81</v>
      </c>
      <c r="N13">
        <v>380.1</v>
      </c>
      <c r="O13" t="s">
        <v>27</v>
      </c>
      <c r="P13">
        <v>0</v>
      </c>
    </row>
    <row r="14" spans="1:16" x14ac:dyDescent="0.25">
      <c r="A14" t="s">
        <v>72</v>
      </c>
      <c r="B14" t="s">
        <v>17</v>
      </c>
      <c r="C14" t="s">
        <v>589</v>
      </c>
      <c r="D14" t="s">
        <v>590</v>
      </c>
      <c r="E14" t="s">
        <v>20</v>
      </c>
      <c r="F14">
        <v>155</v>
      </c>
      <c r="G14" t="s">
        <v>21</v>
      </c>
      <c r="H14">
        <v>1.71</v>
      </c>
      <c r="I14">
        <v>0</v>
      </c>
      <c r="J14">
        <v>0</v>
      </c>
      <c r="K14">
        <v>0.62</v>
      </c>
      <c r="L14">
        <v>265.05</v>
      </c>
      <c r="M14">
        <v>1.82</v>
      </c>
      <c r="N14">
        <v>282.10000000000002</v>
      </c>
      <c r="O14" t="s">
        <v>594</v>
      </c>
      <c r="P14">
        <v>1</v>
      </c>
    </row>
    <row r="15" spans="1:16" x14ac:dyDescent="0.25">
      <c r="A15" t="s">
        <v>72</v>
      </c>
      <c r="B15" t="s">
        <v>576</v>
      </c>
      <c r="C15" t="s">
        <v>589</v>
      </c>
      <c r="D15" t="s">
        <v>590</v>
      </c>
      <c r="E15" t="s">
        <v>20</v>
      </c>
      <c r="F15">
        <v>92.78</v>
      </c>
      <c r="G15" t="s">
        <v>21</v>
      </c>
      <c r="H15">
        <v>1.71</v>
      </c>
      <c r="I15">
        <v>0</v>
      </c>
      <c r="J15">
        <v>0</v>
      </c>
      <c r="K15">
        <v>0.37</v>
      </c>
      <c r="L15">
        <v>158.65</v>
      </c>
      <c r="M15">
        <v>1.82</v>
      </c>
      <c r="N15">
        <v>168.86</v>
      </c>
      <c r="O15" t="s">
        <v>595</v>
      </c>
      <c r="P15">
        <v>0</v>
      </c>
    </row>
    <row r="16" spans="1:16" x14ac:dyDescent="0.25">
      <c r="A16" t="s">
        <v>72</v>
      </c>
      <c r="B16" t="s">
        <v>217</v>
      </c>
      <c r="C16" t="s">
        <v>577</v>
      </c>
      <c r="D16" t="s">
        <v>578</v>
      </c>
      <c r="E16" t="s">
        <v>20</v>
      </c>
      <c r="F16">
        <v>240</v>
      </c>
      <c r="G16" t="s">
        <v>21</v>
      </c>
      <c r="H16">
        <v>1.71</v>
      </c>
      <c r="I16">
        <v>0</v>
      </c>
      <c r="J16">
        <v>0</v>
      </c>
      <c r="K16">
        <v>0.96</v>
      </c>
      <c r="L16">
        <v>410.4</v>
      </c>
      <c r="M16">
        <v>1.82</v>
      </c>
      <c r="N16">
        <v>436.8</v>
      </c>
      <c r="O16" t="s">
        <v>596</v>
      </c>
      <c r="P16">
        <v>0</v>
      </c>
    </row>
    <row r="17" spans="1:16" x14ac:dyDescent="0.25">
      <c r="A17" t="s">
        <v>77</v>
      </c>
      <c r="B17" t="s">
        <v>17</v>
      </c>
      <c r="C17" t="s">
        <v>583</v>
      </c>
      <c r="D17" t="s">
        <v>584</v>
      </c>
      <c r="E17" t="s">
        <v>20</v>
      </c>
      <c r="F17">
        <v>186.950999999999</v>
      </c>
      <c r="G17" t="s">
        <v>21</v>
      </c>
      <c r="H17">
        <v>1.71</v>
      </c>
      <c r="I17">
        <v>0</v>
      </c>
      <c r="J17">
        <v>0</v>
      </c>
      <c r="K17">
        <v>0.75</v>
      </c>
      <c r="L17">
        <v>319.69</v>
      </c>
      <c r="M17">
        <v>1.82</v>
      </c>
      <c r="N17">
        <v>340.25</v>
      </c>
      <c r="O17" t="s">
        <v>597</v>
      </c>
      <c r="P17">
        <v>0</v>
      </c>
    </row>
    <row r="18" spans="1:16" x14ac:dyDescent="0.25">
      <c r="A18" t="s">
        <v>77</v>
      </c>
      <c r="B18" t="s">
        <v>207</v>
      </c>
      <c r="C18" t="s">
        <v>589</v>
      </c>
      <c r="D18" t="s">
        <v>590</v>
      </c>
      <c r="E18" t="s">
        <v>20</v>
      </c>
      <c r="F18">
        <v>242.307999999999</v>
      </c>
      <c r="G18" t="s">
        <v>21</v>
      </c>
      <c r="H18">
        <v>1.71</v>
      </c>
      <c r="I18">
        <v>0</v>
      </c>
      <c r="J18">
        <v>0</v>
      </c>
      <c r="K18">
        <v>0.97</v>
      </c>
      <c r="L18">
        <v>414.35</v>
      </c>
      <c r="M18">
        <v>1.82</v>
      </c>
      <c r="N18">
        <v>441</v>
      </c>
      <c r="O18" t="s">
        <v>308</v>
      </c>
      <c r="P18">
        <v>0</v>
      </c>
    </row>
    <row r="19" spans="1:16" x14ac:dyDescent="0.25">
      <c r="A19" t="s">
        <v>77</v>
      </c>
      <c r="B19" t="s">
        <v>207</v>
      </c>
      <c r="C19" t="s">
        <v>577</v>
      </c>
      <c r="D19" t="s">
        <v>578</v>
      </c>
      <c r="E19" t="s">
        <v>20</v>
      </c>
      <c r="F19">
        <v>180</v>
      </c>
      <c r="G19" t="s">
        <v>21</v>
      </c>
      <c r="H19">
        <v>1.71</v>
      </c>
      <c r="I19">
        <v>0</v>
      </c>
      <c r="J19">
        <v>0</v>
      </c>
      <c r="K19">
        <v>0.72</v>
      </c>
      <c r="L19">
        <v>307.8</v>
      </c>
      <c r="M19">
        <v>1.82</v>
      </c>
      <c r="N19">
        <v>327.60000000000002</v>
      </c>
      <c r="O19" t="s">
        <v>598</v>
      </c>
      <c r="P19">
        <v>0</v>
      </c>
    </row>
    <row r="20" spans="1:16" x14ac:dyDescent="0.25">
      <c r="A20" t="s">
        <v>77</v>
      </c>
      <c r="B20" t="s">
        <v>576</v>
      </c>
      <c r="C20" t="s">
        <v>589</v>
      </c>
      <c r="D20" t="s">
        <v>590</v>
      </c>
      <c r="E20" t="s">
        <v>20</v>
      </c>
      <c r="F20">
        <v>66.081999999999894</v>
      </c>
      <c r="G20" t="s">
        <v>21</v>
      </c>
      <c r="H20">
        <v>1.71</v>
      </c>
      <c r="I20">
        <v>0</v>
      </c>
      <c r="J20">
        <v>0</v>
      </c>
      <c r="K20">
        <v>0.26</v>
      </c>
      <c r="L20">
        <v>113</v>
      </c>
      <c r="M20">
        <v>1.82</v>
      </c>
      <c r="N20">
        <v>120.27</v>
      </c>
      <c r="O20" t="s">
        <v>599</v>
      </c>
      <c r="P20">
        <v>0</v>
      </c>
    </row>
    <row r="21" spans="1:16" x14ac:dyDescent="0.25">
      <c r="A21" t="s">
        <v>243</v>
      </c>
      <c r="B21" t="s">
        <v>600</v>
      </c>
      <c r="C21" t="s">
        <v>577</v>
      </c>
      <c r="D21" t="s">
        <v>578</v>
      </c>
      <c r="E21" t="s">
        <v>20</v>
      </c>
      <c r="F21">
        <v>170</v>
      </c>
      <c r="G21" t="s">
        <v>21</v>
      </c>
      <c r="H21">
        <v>1.7</v>
      </c>
      <c r="I21">
        <v>0</v>
      </c>
      <c r="J21">
        <v>0</v>
      </c>
      <c r="K21">
        <v>0.34</v>
      </c>
      <c r="L21">
        <v>289</v>
      </c>
      <c r="M21">
        <v>1.82</v>
      </c>
      <c r="N21">
        <v>309.39999999999998</v>
      </c>
      <c r="O21" t="s">
        <v>601</v>
      </c>
      <c r="P21">
        <v>0</v>
      </c>
    </row>
    <row r="22" spans="1:16" x14ac:dyDescent="0.25">
      <c r="A22" t="s">
        <v>243</v>
      </c>
      <c r="B22" t="s">
        <v>576</v>
      </c>
      <c r="C22" t="s">
        <v>583</v>
      </c>
      <c r="D22" t="s">
        <v>584</v>
      </c>
      <c r="E22" t="s">
        <v>20</v>
      </c>
      <c r="F22">
        <v>218</v>
      </c>
      <c r="G22" t="s">
        <v>21</v>
      </c>
      <c r="H22">
        <v>1.7</v>
      </c>
      <c r="I22">
        <v>0</v>
      </c>
      <c r="J22">
        <v>0</v>
      </c>
      <c r="K22">
        <v>0.44</v>
      </c>
      <c r="L22">
        <v>370.6</v>
      </c>
      <c r="M22">
        <v>1.82</v>
      </c>
      <c r="N22">
        <v>396.76</v>
      </c>
      <c r="O22" t="s">
        <v>375</v>
      </c>
      <c r="P22">
        <v>0</v>
      </c>
    </row>
    <row r="23" spans="1:16" x14ac:dyDescent="0.25">
      <c r="A23" t="s">
        <v>243</v>
      </c>
      <c r="B23" t="s">
        <v>303</v>
      </c>
      <c r="C23" t="s">
        <v>602</v>
      </c>
      <c r="D23" t="s">
        <v>603</v>
      </c>
      <c r="E23" t="s">
        <v>20</v>
      </c>
      <c r="F23">
        <v>285</v>
      </c>
      <c r="G23" t="s">
        <v>21</v>
      </c>
      <c r="H23">
        <v>1.7</v>
      </c>
      <c r="I23">
        <v>0</v>
      </c>
      <c r="J23">
        <v>0</v>
      </c>
      <c r="K23">
        <v>0.56999999999999995</v>
      </c>
      <c r="L23">
        <v>484.5</v>
      </c>
      <c r="M23">
        <v>1.83</v>
      </c>
      <c r="N23">
        <v>521.54999999999995</v>
      </c>
      <c r="O23" t="s">
        <v>61</v>
      </c>
      <c r="P23">
        <v>0</v>
      </c>
    </row>
    <row r="24" spans="1:16" x14ac:dyDescent="0.25">
      <c r="A24" t="s">
        <v>243</v>
      </c>
      <c r="B24" t="s">
        <v>303</v>
      </c>
      <c r="C24" t="s">
        <v>602</v>
      </c>
      <c r="D24" t="s">
        <v>603</v>
      </c>
      <c r="E24" t="s">
        <v>257</v>
      </c>
      <c r="F24">
        <v>30.754000000000001</v>
      </c>
      <c r="G24" t="s">
        <v>21</v>
      </c>
      <c r="H24">
        <v>1.22</v>
      </c>
      <c r="I24">
        <v>0</v>
      </c>
      <c r="J24">
        <v>0</v>
      </c>
      <c r="L24">
        <v>37.520000000000003</v>
      </c>
      <c r="M24">
        <v>1.22</v>
      </c>
      <c r="N24">
        <v>37.520000000000003</v>
      </c>
      <c r="O24" t="s">
        <v>61</v>
      </c>
      <c r="P24">
        <v>0</v>
      </c>
    </row>
    <row r="25" spans="1:16" x14ac:dyDescent="0.25">
      <c r="A25" t="s">
        <v>145</v>
      </c>
      <c r="B25" t="s">
        <v>576</v>
      </c>
      <c r="C25" t="s">
        <v>577</v>
      </c>
      <c r="D25" t="s">
        <v>578</v>
      </c>
      <c r="E25" t="s">
        <v>20</v>
      </c>
      <c r="F25">
        <v>200</v>
      </c>
      <c r="G25" t="s">
        <v>21</v>
      </c>
      <c r="H25">
        <v>1.7</v>
      </c>
      <c r="I25">
        <v>0</v>
      </c>
      <c r="J25">
        <v>0</v>
      </c>
      <c r="K25">
        <v>0.4</v>
      </c>
      <c r="L25">
        <v>340</v>
      </c>
      <c r="M25">
        <v>1.82</v>
      </c>
      <c r="N25">
        <v>364</v>
      </c>
      <c r="O25" t="s">
        <v>604</v>
      </c>
      <c r="P25">
        <v>0</v>
      </c>
    </row>
    <row r="26" spans="1:16" x14ac:dyDescent="0.25">
      <c r="A26" t="s">
        <v>145</v>
      </c>
      <c r="B26" t="s">
        <v>576</v>
      </c>
      <c r="C26" t="s">
        <v>589</v>
      </c>
      <c r="D26" t="s">
        <v>590</v>
      </c>
      <c r="E26" t="s">
        <v>20</v>
      </c>
      <c r="F26">
        <v>177.41800000000001</v>
      </c>
      <c r="G26" t="s">
        <v>21</v>
      </c>
      <c r="H26">
        <v>1.7</v>
      </c>
      <c r="I26">
        <v>0</v>
      </c>
      <c r="J26">
        <v>0</v>
      </c>
      <c r="K26">
        <v>0.35</v>
      </c>
      <c r="L26">
        <v>301.61</v>
      </c>
      <c r="M26">
        <v>1.82</v>
      </c>
      <c r="N26">
        <v>322.89999999999998</v>
      </c>
      <c r="O26" t="s">
        <v>605</v>
      </c>
      <c r="P26">
        <v>0</v>
      </c>
    </row>
    <row r="27" spans="1:16" x14ac:dyDescent="0.25">
      <c r="A27" t="s">
        <v>82</v>
      </c>
      <c r="B27" t="s">
        <v>576</v>
      </c>
      <c r="C27" t="s">
        <v>577</v>
      </c>
      <c r="D27" t="s">
        <v>578</v>
      </c>
      <c r="E27" t="s">
        <v>20</v>
      </c>
      <c r="F27">
        <v>160.03800000000001</v>
      </c>
      <c r="G27" t="s">
        <v>21</v>
      </c>
      <c r="H27">
        <v>1.68</v>
      </c>
      <c r="I27">
        <v>0</v>
      </c>
      <c r="J27">
        <v>0</v>
      </c>
      <c r="K27">
        <v>0.48</v>
      </c>
      <c r="L27">
        <v>268.86</v>
      </c>
      <c r="M27">
        <v>1.82</v>
      </c>
      <c r="N27">
        <v>291.27</v>
      </c>
      <c r="O27" t="s">
        <v>606</v>
      </c>
      <c r="P27">
        <v>0</v>
      </c>
    </row>
    <row r="28" spans="1:16" x14ac:dyDescent="0.25">
      <c r="A28" t="s">
        <v>82</v>
      </c>
      <c r="B28" t="s">
        <v>576</v>
      </c>
      <c r="C28" t="s">
        <v>589</v>
      </c>
      <c r="D28" t="s">
        <v>590</v>
      </c>
      <c r="E28" t="s">
        <v>20</v>
      </c>
      <c r="F28">
        <v>138.137</v>
      </c>
      <c r="G28" t="s">
        <v>21</v>
      </c>
      <c r="H28">
        <v>1.68</v>
      </c>
      <c r="I28">
        <v>0</v>
      </c>
      <c r="J28">
        <v>0</v>
      </c>
      <c r="K28">
        <v>0.41</v>
      </c>
      <c r="L28">
        <v>232.07</v>
      </c>
      <c r="M28">
        <v>1.82</v>
      </c>
      <c r="N28">
        <v>251.41</v>
      </c>
      <c r="O28" t="s">
        <v>607</v>
      </c>
      <c r="P28">
        <v>0</v>
      </c>
    </row>
    <row r="29" spans="1:16" x14ac:dyDescent="0.25">
      <c r="A29" t="s">
        <v>16</v>
      </c>
      <c r="B29" t="s">
        <v>608</v>
      </c>
      <c r="C29" t="s">
        <v>589</v>
      </c>
      <c r="D29" t="s">
        <v>590</v>
      </c>
      <c r="E29" t="s">
        <v>20</v>
      </c>
      <c r="F29">
        <v>183.851</v>
      </c>
      <c r="G29" t="s">
        <v>21</v>
      </c>
      <c r="H29">
        <v>1.67</v>
      </c>
      <c r="I29">
        <v>0</v>
      </c>
      <c r="J29">
        <v>0</v>
      </c>
      <c r="K29">
        <v>0.18</v>
      </c>
      <c r="L29">
        <v>307.02999999999997</v>
      </c>
      <c r="M29">
        <v>1.81</v>
      </c>
      <c r="N29">
        <v>332.77</v>
      </c>
      <c r="O29" t="s">
        <v>609</v>
      </c>
      <c r="P29">
        <v>0</v>
      </c>
    </row>
    <row r="30" spans="1:16" x14ac:dyDescent="0.25">
      <c r="A30" t="s">
        <v>16</v>
      </c>
      <c r="B30" t="s">
        <v>576</v>
      </c>
      <c r="C30" t="s">
        <v>602</v>
      </c>
      <c r="D30" t="s">
        <v>603</v>
      </c>
      <c r="E30" t="s">
        <v>20</v>
      </c>
      <c r="F30">
        <v>155</v>
      </c>
      <c r="G30" t="s">
        <v>21</v>
      </c>
      <c r="H30">
        <v>1.67</v>
      </c>
      <c r="I30">
        <v>0</v>
      </c>
      <c r="J30">
        <v>0</v>
      </c>
      <c r="K30">
        <v>0.15</v>
      </c>
      <c r="L30">
        <v>258.85000000000002</v>
      </c>
      <c r="M30">
        <v>1.81</v>
      </c>
      <c r="N30">
        <v>280.55</v>
      </c>
      <c r="O30" t="s">
        <v>610</v>
      </c>
      <c r="P30">
        <v>0</v>
      </c>
    </row>
    <row r="31" spans="1:16" x14ac:dyDescent="0.25">
      <c r="A31" t="s">
        <v>86</v>
      </c>
      <c r="B31" t="s">
        <v>576</v>
      </c>
      <c r="C31" t="s">
        <v>577</v>
      </c>
      <c r="D31" t="s">
        <v>578</v>
      </c>
      <c r="E31" t="s">
        <v>20</v>
      </c>
      <c r="F31">
        <v>145</v>
      </c>
      <c r="G31" t="s">
        <v>21</v>
      </c>
      <c r="H31">
        <v>1.67</v>
      </c>
      <c r="I31">
        <v>0</v>
      </c>
      <c r="J31">
        <v>0</v>
      </c>
      <c r="K31">
        <v>0.14000000000000001</v>
      </c>
      <c r="L31">
        <v>242.15</v>
      </c>
      <c r="M31">
        <v>1.81</v>
      </c>
      <c r="N31">
        <v>262.45</v>
      </c>
      <c r="O31" t="s">
        <v>325</v>
      </c>
      <c r="P31">
        <v>0</v>
      </c>
    </row>
    <row r="32" spans="1:16" x14ac:dyDescent="0.25">
      <c r="A32" t="s">
        <v>86</v>
      </c>
      <c r="B32" t="s">
        <v>576</v>
      </c>
      <c r="C32" t="s">
        <v>589</v>
      </c>
      <c r="D32" t="s">
        <v>590</v>
      </c>
      <c r="E32" t="s">
        <v>20</v>
      </c>
      <c r="F32">
        <v>94.010999999999896</v>
      </c>
      <c r="G32" t="s">
        <v>21</v>
      </c>
      <c r="H32">
        <v>1.67</v>
      </c>
      <c r="I32">
        <v>0</v>
      </c>
      <c r="J32">
        <v>0</v>
      </c>
      <c r="K32">
        <v>0.09</v>
      </c>
      <c r="L32">
        <v>157</v>
      </c>
      <c r="M32">
        <v>1.81</v>
      </c>
      <c r="N32">
        <v>170.16</v>
      </c>
      <c r="O32" t="s">
        <v>611</v>
      </c>
      <c r="P32">
        <v>0</v>
      </c>
    </row>
    <row r="33" spans="1:16" x14ac:dyDescent="0.25">
      <c r="A33" t="s">
        <v>151</v>
      </c>
      <c r="B33" t="s">
        <v>17</v>
      </c>
      <c r="C33" t="s">
        <v>589</v>
      </c>
      <c r="D33" t="s">
        <v>590</v>
      </c>
      <c r="E33" t="s">
        <v>20</v>
      </c>
      <c r="F33">
        <v>112.45</v>
      </c>
      <c r="G33" t="s">
        <v>21</v>
      </c>
      <c r="H33">
        <v>1.65</v>
      </c>
      <c r="I33">
        <v>0</v>
      </c>
      <c r="J33">
        <v>0</v>
      </c>
      <c r="K33">
        <v>0.45</v>
      </c>
      <c r="L33">
        <v>185.54</v>
      </c>
      <c r="M33">
        <v>1.8</v>
      </c>
      <c r="N33">
        <v>202.41</v>
      </c>
      <c r="O33" t="s">
        <v>612</v>
      </c>
      <c r="P33">
        <v>0</v>
      </c>
    </row>
    <row r="34" spans="1:16" x14ac:dyDescent="0.25">
      <c r="A34" t="s">
        <v>23</v>
      </c>
      <c r="B34" t="s">
        <v>576</v>
      </c>
      <c r="C34" t="s">
        <v>602</v>
      </c>
      <c r="D34" t="s">
        <v>603</v>
      </c>
      <c r="E34" t="s">
        <v>20</v>
      </c>
      <c r="F34">
        <v>490</v>
      </c>
      <c r="G34" t="s">
        <v>21</v>
      </c>
      <c r="H34">
        <v>1.65</v>
      </c>
      <c r="I34">
        <v>0</v>
      </c>
      <c r="J34">
        <v>0</v>
      </c>
      <c r="K34">
        <v>1.96</v>
      </c>
      <c r="L34">
        <v>808.5</v>
      </c>
      <c r="M34">
        <v>1.8</v>
      </c>
      <c r="N34">
        <v>882</v>
      </c>
      <c r="O34" t="s">
        <v>613</v>
      </c>
      <c r="P34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P2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136</v>
      </c>
      <c r="B2" t="s">
        <v>445</v>
      </c>
      <c r="C2" t="s">
        <v>614</v>
      </c>
      <c r="D2" t="s">
        <v>615</v>
      </c>
      <c r="E2" t="s">
        <v>87</v>
      </c>
      <c r="F2">
        <v>54.790999999999897</v>
      </c>
      <c r="G2" t="s">
        <v>21</v>
      </c>
      <c r="H2">
        <v>1.77</v>
      </c>
      <c r="I2">
        <v>0</v>
      </c>
      <c r="J2">
        <v>0</v>
      </c>
      <c r="L2">
        <v>96.98</v>
      </c>
      <c r="M2">
        <v>1.77</v>
      </c>
      <c r="N2">
        <v>96.98</v>
      </c>
      <c r="O2" t="s">
        <v>616</v>
      </c>
      <c r="P2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16"/>
  <sheetViews>
    <sheetView workbookViewId="0"/>
  </sheetViews>
  <sheetFormatPr defaultRowHeight="15" x14ac:dyDescent="0.25"/>
  <cols>
    <col min="1" max="1" width="12.42578125" customWidth="1"/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51</v>
      </c>
      <c r="B2" t="s">
        <v>17</v>
      </c>
      <c r="C2" t="s">
        <v>617</v>
      </c>
      <c r="D2" t="s">
        <v>618</v>
      </c>
      <c r="E2" t="s">
        <v>20</v>
      </c>
      <c r="F2">
        <v>22.582000000000001</v>
      </c>
      <c r="G2" t="s">
        <v>21</v>
      </c>
      <c r="H2">
        <v>1.65</v>
      </c>
      <c r="I2">
        <v>0</v>
      </c>
      <c r="J2">
        <v>0</v>
      </c>
      <c r="K2">
        <v>7.0000000000000007E-2</v>
      </c>
      <c r="L2">
        <v>37.26</v>
      </c>
      <c r="M2">
        <v>1.7</v>
      </c>
      <c r="N2">
        <v>38.39</v>
      </c>
      <c r="O2" t="s">
        <v>619</v>
      </c>
      <c r="P2">
        <v>0</v>
      </c>
    </row>
    <row r="3" spans="1:16" x14ac:dyDescent="0.25">
      <c r="A3" t="s">
        <v>51</v>
      </c>
      <c r="B3" t="s">
        <v>32</v>
      </c>
      <c r="C3" t="s">
        <v>620</v>
      </c>
      <c r="D3" t="s">
        <v>621</v>
      </c>
      <c r="E3" t="s">
        <v>20</v>
      </c>
      <c r="F3">
        <v>20.6</v>
      </c>
      <c r="G3" t="s">
        <v>21</v>
      </c>
      <c r="H3">
        <v>1.65</v>
      </c>
      <c r="I3">
        <v>0</v>
      </c>
      <c r="J3">
        <v>0</v>
      </c>
      <c r="K3">
        <v>0.06</v>
      </c>
      <c r="L3">
        <v>33.99</v>
      </c>
      <c r="M3">
        <v>1.7</v>
      </c>
      <c r="N3">
        <v>35.020000000000003</v>
      </c>
      <c r="O3" t="s">
        <v>611</v>
      </c>
      <c r="P3">
        <v>319270</v>
      </c>
    </row>
    <row r="4" spans="1:16" x14ac:dyDescent="0.25">
      <c r="A4" t="s">
        <v>56</v>
      </c>
      <c r="B4" t="s">
        <v>17</v>
      </c>
      <c r="C4" t="s">
        <v>622</v>
      </c>
      <c r="D4" t="s">
        <v>623</v>
      </c>
      <c r="E4" t="s">
        <v>20</v>
      </c>
      <c r="F4">
        <v>41.162999999999897</v>
      </c>
      <c r="G4" t="s">
        <v>21</v>
      </c>
      <c r="H4">
        <v>1.65</v>
      </c>
      <c r="I4">
        <v>0</v>
      </c>
      <c r="J4">
        <v>0</v>
      </c>
      <c r="K4">
        <v>0.12</v>
      </c>
      <c r="L4">
        <v>67.92</v>
      </c>
      <c r="M4">
        <v>1.72</v>
      </c>
      <c r="N4">
        <v>70.8</v>
      </c>
      <c r="O4" t="s">
        <v>624</v>
      </c>
      <c r="P4">
        <v>431272</v>
      </c>
    </row>
    <row r="5" spans="1:16" x14ac:dyDescent="0.25">
      <c r="A5" t="s">
        <v>185</v>
      </c>
      <c r="B5" t="s">
        <v>103</v>
      </c>
      <c r="C5" t="s">
        <v>620</v>
      </c>
      <c r="D5" t="s">
        <v>621</v>
      </c>
      <c r="E5" t="s">
        <v>20</v>
      </c>
      <c r="F5">
        <v>43.301000000000002</v>
      </c>
      <c r="G5" t="s">
        <v>21</v>
      </c>
      <c r="H5">
        <v>1.73</v>
      </c>
      <c r="I5">
        <v>0</v>
      </c>
      <c r="J5">
        <v>0.01</v>
      </c>
      <c r="K5">
        <v>0.43</v>
      </c>
      <c r="L5">
        <v>74.91</v>
      </c>
      <c r="M5">
        <v>1.76</v>
      </c>
      <c r="N5">
        <v>76.209999999999994</v>
      </c>
      <c r="O5" t="s">
        <v>354</v>
      </c>
      <c r="P5">
        <v>319465</v>
      </c>
    </row>
    <row r="6" spans="1:16" x14ac:dyDescent="0.25">
      <c r="A6" t="s">
        <v>66</v>
      </c>
      <c r="B6" t="s">
        <v>17</v>
      </c>
      <c r="C6" t="s">
        <v>617</v>
      </c>
      <c r="D6" t="s">
        <v>618</v>
      </c>
      <c r="E6" t="s">
        <v>20</v>
      </c>
      <c r="F6">
        <v>22.937999999999899</v>
      </c>
      <c r="G6" t="s">
        <v>21</v>
      </c>
      <c r="H6">
        <v>1.73</v>
      </c>
      <c r="I6">
        <v>0</v>
      </c>
      <c r="J6">
        <v>0.02</v>
      </c>
      <c r="K6">
        <v>0.46</v>
      </c>
      <c r="L6">
        <v>39.68</v>
      </c>
      <c r="M6">
        <v>1.77</v>
      </c>
      <c r="N6">
        <v>40.6</v>
      </c>
      <c r="O6" t="s">
        <v>625</v>
      </c>
      <c r="P6">
        <v>0</v>
      </c>
    </row>
    <row r="7" spans="1:16" x14ac:dyDescent="0.25">
      <c r="A7" t="s">
        <v>136</v>
      </c>
      <c r="B7" t="s">
        <v>32</v>
      </c>
      <c r="C7" t="s">
        <v>620</v>
      </c>
      <c r="D7" t="s">
        <v>621</v>
      </c>
      <c r="E7" t="s">
        <v>20</v>
      </c>
      <c r="F7">
        <v>45.256999999999898</v>
      </c>
      <c r="G7" t="s">
        <v>21</v>
      </c>
      <c r="H7">
        <v>1.76</v>
      </c>
      <c r="I7">
        <v>0</v>
      </c>
      <c r="J7">
        <v>0.02</v>
      </c>
      <c r="K7">
        <v>0.91</v>
      </c>
      <c r="L7">
        <v>79.650000000000006</v>
      </c>
      <c r="M7">
        <v>1.79</v>
      </c>
      <c r="N7">
        <v>81.010000000000005</v>
      </c>
      <c r="O7" t="s">
        <v>626</v>
      </c>
      <c r="P7">
        <v>319845</v>
      </c>
    </row>
    <row r="8" spans="1:16" x14ac:dyDescent="0.25">
      <c r="A8" t="s">
        <v>114</v>
      </c>
      <c r="B8" t="s">
        <v>32</v>
      </c>
      <c r="C8" t="s">
        <v>627</v>
      </c>
      <c r="D8" t="s">
        <v>628</v>
      </c>
      <c r="E8" t="s">
        <v>20</v>
      </c>
      <c r="F8">
        <v>55.072000000000003</v>
      </c>
      <c r="G8" t="s">
        <v>21</v>
      </c>
      <c r="H8">
        <v>1.76</v>
      </c>
      <c r="I8">
        <v>0</v>
      </c>
      <c r="J8">
        <v>0.02</v>
      </c>
      <c r="K8">
        <v>1.1000000000000001</v>
      </c>
      <c r="L8">
        <v>96.93</v>
      </c>
      <c r="M8">
        <v>1.8</v>
      </c>
      <c r="N8">
        <v>99.13</v>
      </c>
      <c r="O8" t="s">
        <v>629</v>
      </c>
      <c r="P8">
        <v>0</v>
      </c>
    </row>
    <row r="9" spans="1:16" x14ac:dyDescent="0.25">
      <c r="A9" t="s">
        <v>70</v>
      </c>
      <c r="B9" t="s">
        <v>17</v>
      </c>
      <c r="C9" t="s">
        <v>622</v>
      </c>
      <c r="D9" t="s">
        <v>623</v>
      </c>
      <c r="E9" t="s">
        <v>20</v>
      </c>
      <c r="F9">
        <v>45.89</v>
      </c>
      <c r="G9" t="s">
        <v>21</v>
      </c>
      <c r="H9">
        <v>1.76</v>
      </c>
      <c r="I9">
        <v>0</v>
      </c>
      <c r="J9">
        <v>0.02</v>
      </c>
      <c r="K9">
        <v>0.92</v>
      </c>
      <c r="L9">
        <v>80.77</v>
      </c>
      <c r="M9">
        <v>1.81</v>
      </c>
      <c r="N9">
        <v>83.06</v>
      </c>
      <c r="O9" t="s">
        <v>630</v>
      </c>
      <c r="P9">
        <v>431919</v>
      </c>
    </row>
    <row r="10" spans="1:16" x14ac:dyDescent="0.25">
      <c r="A10" t="s">
        <v>141</v>
      </c>
      <c r="B10" t="s">
        <v>17</v>
      </c>
      <c r="C10" t="s">
        <v>617</v>
      </c>
      <c r="D10" t="s">
        <v>618</v>
      </c>
      <c r="E10" t="s">
        <v>20</v>
      </c>
      <c r="F10">
        <v>21.922999999999899</v>
      </c>
      <c r="G10" t="s">
        <v>21</v>
      </c>
      <c r="H10">
        <v>1.75</v>
      </c>
      <c r="I10">
        <v>0</v>
      </c>
      <c r="J10">
        <v>0.02</v>
      </c>
      <c r="K10">
        <v>0.44</v>
      </c>
      <c r="L10">
        <v>38.369999999999997</v>
      </c>
      <c r="M10">
        <v>1.81</v>
      </c>
      <c r="N10">
        <v>39.68</v>
      </c>
      <c r="O10" t="s">
        <v>381</v>
      </c>
      <c r="P10">
        <v>0</v>
      </c>
    </row>
    <row r="11" spans="1:16" x14ac:dyDescent="0.25">
      <c r="A11" t="s">
        <v>141</v>
      </c>
      <c r="B11" t="s">
        <v>17</v>
      </c>
      <c r="C11" t="s">
        <v>620</v>
      </c>
      <c r="D11" t="s">
        <v>621</v>
      </c>
      <c r="E11" t="s">
        <v>20</v>
      </c>
      <c r="F11">
        <v>28.442</v>
      </c>
      <c r="G11" t="s">
        <v>21</v>
      </c>
      <c r="H11">
        <v>1.75</v>
      </c>
      <c r="I11">
        <v>0</v>
      </c>
      <c r="J11">
        <v>0.02</v>
      </c>
      <c r="K11">
        <v>0.56999999999999995</v>
      </c>
      <c r="L11">
        <v>49.77</v>
      </c>
      <c r="M11">
        <v>1.81</v>
      </c>
      <c r="N11">
        <v>51.48</v>
      </c>
      <c r="O11" t="s">
        <v>631</v>
      </c>
      <c r="P11">
        <v>0</v>
      </c>
    </row>
    <row r="12" spans="1:16" x14ac:dyDescent="0.25">
      <c r="A12" t="s">
        <v>163</v>
      </c>
      <c r="B12" t="s">
        <v>177</v>
      </c>
      <c r="C12" t="s">
        <v>620</v>
      </c>
      <c r="D12" t="s">
        <v>621</v>
      </c>
      <c r="E12" t="s">
        <v>20</v>
      </c>
      <c r="F12">
        <v>26.571000000000002</v>
      </c>
      <c r="G12" t="s">
        <v>21</v>
      </c>
      <c r="H12">
        <v>1.75</v>
      </c>
      <c r="I12">
        <v>0</v>
      </c>
      <c r="J12">
        <v>0.02</v>
      </c>
      <c r="K12">
        <v>0.53</v>
      </c>
      <c r="L12">
        <v>46.5</v>
      </c>
      <c r="M12">
        <v>1.82</v>
      </c>
      <c r="N12">
        <v>48.36</v>
      </c>
      <c r="O12" t="s">
        <v>331</v>
      </c>
      <c r="P12">
        <v>0</v>
      </c>
    </row>
    <row r="13" spans="1:16" x14ac:dyDescent="0.25">
      <c r="A13" t="s">
        <v>145</v>
      </c>
      <c r="B13" t="s">
        <v>496</v>
      </c>
      <c r="C13" t="s">
        <v>627</v>
      </c>
      <c r="D13" t="s">
        <v>628</v>
      </c>
      <c r="E13" t="s">
        <v>20</v>
      </c>
      <c r="F13">
        <v>34.878999999999898</v>
      </c>
      <c r="G13" t="s">
        <v>21</v>
      </c>
      <c r="H13">
        <v>1.72</v>
      </c>
      <c r="I13">
        <v>0</v>
      </c>
      <c r="J13">
        <v>0.02</v>
      </c>
      <c r="K13">
        <v>0.7</v>
      </c>
      <c r="L13">
        <v>59.99</v>
      </c>
      <c r="M13">
        <v>1.82</v>
      </c>
      <c r="N13">
        <v>63.48</v>
      </c>
      <c r="O13" t="s">
        <v>630</v>
      </c>
      <c r="P13">
        <v>0</v>
      </c>
    </row>
    <row r="14" spans="1:16" x14ac:dyDescent="0.25">
      <c r="A14" t="s">
        <v>82</v>
      </c>
      <c r="B14" t="s">
        <v>177</v>
      </c>
      <c r="C14" t="s">
        <v>620</v>
      </c>
      <c r="D14" t="s">
        <v>621</v>
      </c>
      <c r="E14" t="s">
        <v>20</v>
      </c>
      <c r="F14">
        <v>38.4729999999999</v>
      </c>
      <c r="G14" t="s">
        <v>21</v>
      </c>
      <c r="H14">
        <v>1.71</v>
      </c>
      <c r="I14">
        <v>0</v>
      </c>
      <c r="J14">
        <v>0.03</v>
      </c>
      <c r="K14">
        <v>1.1499999999999999</v>
      </c>
      <c r="L14">
        <v>65.790000000000006</v>
      </c>
      <c r="M14">
        <v>1.82</v>
      </c>
      <c r="N14">
        <v>70.02</v>
      </c>
      <c r="O14" t="s">
        <v>632</v>
      </c>
      <c r="P14">
        <v>0</v>
      </c>
    </row>
    <row r="15" spans="1:16" x14ac:dyDescent="0.25">
      <c r="A15" t="s">
        <v>16</v>
      </c>
      <c r="B15" t="s">
        <v>32</v>
      </c>
      <c r="C15" t="s">
        <v>620</v>
      </c>
      <c r="D15" t="s">
        <v>621</v>
      </c>
      <c r="E15" t="s">
        <v>20</v>
      </c>
      <c r="F15">
        <v>48.061</v>
      </c>
      <c r="G15" t="s">
        <v>21</v>
      </c>
      <c r="H15">
        <v>1.7</v>
      </c>
      <c r="I15">
        <v>0</v>
      </c>
      <c r="J15">
        <v>0.03</v>
      </c>
      <c r="K15">
        <v>1.44</v>
      </c>
      <c r="L15">
        <v>81.7</v>
      </c>
      <c r="M15">
        <v>1.81</v>
      </c>
      <c r="N15">
        <v>86.99</v>
      </c>
      <c r="O15" t="s">
        <v>633</v>
      </c>
      <c r="P15">
        <v>321130</v>
      </c>
    </row>
    <row r="16" spans="1:16" x14ac:dyDescent="0.25">
      <c r="A16" t="s">
        <v>151</v>
      </c>
      <c r="B16" t="s">
        <v>32</v>
      </c>
      <c r="C16" t="s">
        <v>620</v>
      </c>
      <c r="D16" t="s">
        <v>621</v>
      </c>
      <c r="E16" t="s">
        <v>20</v>
      </c>
      <c r="F16">
        <v>22.228000000000002</v>
      </c>
      <c r="G16" t="s">
        <v>21</v>
      </c>
      <c r="H16">
        <v>1.68</v>
      </c>
      <c r="I16">
        <v>0</v>
      </c>
      <c r="J16">
        <v>0.03</v>
      </c>
      <c r="K16">
        <v>0.67</v>
      </c>
      <c r="L16">
        <v>37.340000000000003</v>
      </c>
      <c r="M16">
        <v>1.8</v>
      </c>
      <c r="N16">
        <v>40.01</v>
      </c>
      <c r="O16" t="s">
        <v>302</v>
      </c>
      <c r="P16">
        <v>321495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12"/>
  <sheetViews>
    <sheetView workbookViewId="0"/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58</v>
      </c>
      <c r="B2" t="s">
        <v>17</v>
      </c>
      <c r="C2" t="s">
        <v>634</v>
      </c>
      <c r="D2" t="s">
        <v>635</v>
      </c>
      <c r="E2" t="s">
        <v>30</v>
      </c>
      <c r="F2">
        <v>40.113</v>
      </c>
      <c r="G2" t="s">
        <v>21</v>
      </c>
      <c r="H2">
        <v>1.5</v>
      </c>
      <c r="I2">
        <v>0</v>
      </c>
      <c r="J2">
        <v>0</v>
      </c>
      <c r="L2">
        <v>60.17</v>
      </c>
      <c r="M2">
        <v>1.5</v>
      </c>
      <c r="N2">
        <v>60.17</v>
      </c>
      <c r="O2" t="s">
        <v>636</v>
      </c>
      <c r="P2">
        <v>0</v>
      </c>
    </row>
    <row r="3" spans="1:16" x14ac:dyDescent="0.25">
      <c r="A3" t="s">
        <v>58</v>
      </c>
      <c r="B3" t="s">
        <v>17</v>
      </c>
      <c r="C3" t="s">
        <v>634</v>
      </c>
      <c r="D3" t="s">
        <v>635</v>
      </c>
      <c r="E3" t="s">
        <v>351</v>
      </c>
      <c r="F3">
        <v>1</v>
      </c>
      <c r="G3" t="s">
        <v>210</v>
      </c>
      <c r="H3">
        <v>4.34</v>
      </c>
      <c r="I3">
        <v>0</v>
      </c>
      <c r="J3">
        <v>0</v>
      </c>
      <c r="L3">
        <v>4.34</v>
      </c>
      <c r="M3">
        <v>4.34</v>
      </c>
      <c r="N3">
        <v>4.34</v>
      </c>
      <c r="O3" t="s">
        <v>636</v>
      </c>
      <c r="P3">
        <v>0</v>
      </c>
    </row>
    <row r="4" spans="1:16" x14ac:dyDescent="0.25">
      <c r="A4" t="s">
        <v>58</v>
      </c>
      <c r="B4" t="s">
        <v>32</v>
      </c>
      <c r="C4" t="s">
        <v>637</v>
      </c>
      <c r="D4" t="s">
        <v>638</v>
      </c>
      <c r="E4" t="s">
        <v>87</v>
      </c>
      <c r="F4">
        <v>28.12</v>
      </c>
      <c r="G4" t="s">
        <v>21</v>
      </c>
      <c r="H4">
        <v>1.75</v>
      </c>
      <c r="I4">
        <v>0</v>
      </c>
      <c r="J4">
        <v>0</v>
      </c>
      <c r="L4">
        <v>49.21</v>
      </c>
      <c r="M4">
        <v>1.75</v>
      </c>
      <c r="N4">
        <v>49.21</v>
      </c>
      <c r="O4" t="s">
        <v>639</v>
      </c>
      <c r="P4">
        <v>0</v>
      </c>
    </row>
    <row r="5" spans="1:16" x14ac:dyDescent="0.25">
      <c r="A5" t="s">
        <v>324</v>
      </c>
      <c r="B5" t="s">
        <v>300</v>
      </c>
      <c r="C5" t="s">
        <v>640</v>
      </c>
      <c r="D5" t="s">
        <v>641</v>
      </c>
      <c r="E5" t="s">
        <v>87</v>
      </c>
      <c r="F5">
        <v>35.881</v>
      </c>
      <c r="G5" t="s">
        <v>21</v>
      </c>
      <c r="H5">
        <v>1.76</v>
      </c>
      <c r="I5">
        <v>0</v>
      </c>
      <c r="J5">
        <v>0</v>
      </c>
      <c r="L5">
        <v>63.15</v>
      </c>
      <c r="M5">
        <v>1.76</v>
      </c>
      <c r="N5">
        <v>63.15</v>
      </c>
      <c r="O5" t="s">
        <v>642</v>
      </c>
      <c r="P5">
        <v>17438</v>
      </c>
    </row>
    <row r="6" spans="1:16" x14ac:dyDescent="0.25">
      <c r="A6" t="s">
        <v>134</v>
      </c>
      <c r="B6" t="s">
        <v>559</v>
      </c>
      <c r="C6" t="s">
        <v>640</v>
      </c>
      <c r="D6" t="s">
        <v>641</v>
      </c>
      <c r="E6" t="s">
        <v>87</v>
      </c>
      <c r="F6">
        <v>39.722000000000001</v>
      </c>
      <c r="G6" t="s">
        <v>21</v>
      </c>
      <c r="H6">
        <v>1.76</v>
      </c>
      <c r="I6">
        <v>0</v>
      </c>
      <c r="J6">
        <v>0</v>
      </c>
      <c r="L6">
        <v>69.91</v>
      </c>
      <c r="M6">
        <v>1.76</v>
      </c>
      <c r="N6">
        <v>69.91</v>
      </c>
      <c r="O6" t="s">
        <v>244</v>
      </c>
      <c r="P6">
        <v>18008</v>
      </c>
    </row>
    <row r="7" spans="1:16" x14ac:dyDescent="0.25">
      <c r="A7" t="s">
        <v>70</v>
      </c>
      <c r="B7" t="s">
        <v>32</v>
      </c>
      <c r="C7" t="s">
        <v>637</v>
      </c>
      <c r="D7" t="s">
        <v>638</v>
      </c>
      <c r="E7" t="s">
        <v>87</v>
      </c>
      <c r="F7">
        <v>26.591000000000001</v>
      </c>
      <c r="G7" t="s">
        <v>21</v>
      </c>
      <c r="H7">
        <v>1.76</v>
      </c>
      <c r="I7">
        <v>0</v>
      </c>
      <c r="J7">
        <v>0</v>
      </c>
      <c r="L7">
        <v>46.8</v>
      </c>
      <c r="M7">
        <v>1.76</v>
      </c>
      <c r="N7">
        <v>46.8</v>
      </c>
      <c r="O7" t="s">
        <v>542</v>
      </c>
      <c r="P7">
        <v>0</v>
      </c>
    </row>
    <row r="8" spans="1:16" x14ac:dyDescent="0.25">
      <c r="A8" t="s">
        <v>141</v>
      </c>
      <c r="B8" t="s">
        <v>24</v>
      </c>
      <c r="C8" t="s">
        <v>634</v>
      </c>
      <c r="D8" t="s">
        <v>635</v>
      </c>
      <c r="E8" t="s">
        <v>30</v>
      </c>
      <c r="F8">
        <v>43.271999999999899</v>
      </c>
      <c r="G8" t="s">
        <v>21</v>
      </c>
      <c r="H8">
        <v>1.51</v>
      </c>
      <c r="I8">
        <v>0</v>
      </c>
      <c r="J8">
        <v>0</v>
      </c>
      <c r="L8">
        <v>65.34</v>
      </c>
      <c r="M8">
        <v>1.51</v>
      </c>
      <c r="N8">
        <v>65.34</v>
      </c>
      <c r="O8" t="s">
        <v>643</v>
      </c>
      <c r="P8">
        <v>0</v>
      </c>
    </row>
    <row r="9" spans="1:16" x14ac:dyDescent="0.25">
      <c r="A9" t="s">
        <v>449</v>
      </c>
      <c r="B9" t="s">
        <v>318</v>
      </c>
      <c r="C9" t="s">
        <v>640</v>
      </c>
      <c r="D9" t="s">
        <v>641</v>
      </c>
      <c r="E9" t="s">
        <v>87</v>
      </c>
      <c r="F9">
        <v>39.649999999999899</v>
      </c>
      <c r="G9" t="s">
        <v>21</v>
      </c>
      <c r="H9">
        <v>1.77</v>
      </c>
      <c r="I9">
        <v>0</v>
      </c>
      <c r="J9">
        <v>0</v>
      </c>
      <c r="L9">
        <v>70.180000000000007</v>
      </c>
      <c r="M9">
        <v>1.77</v>
      </c>
      <c r="N9">
        <v>70.180000000000007</v>
      </c>
      <c r="O9" t="s">
        <v>644</v>
      </c>
      <c r="P9">
        <v>18513</v>
      </c>
    </row>
    <row r="10" spans="1:16" x14ac:dyDescent="0.25">
      <c r="A10" t="s">
        <v>82</v>
      </c>
      <c r="B10" t="s">
        <v>309</v>
      </c>
      <c r="C10" t="s">
        <v>640</v>
      </c>
      <c r="D10" t="s">
        <v>641</v>
      </c>
      <c r="E10" t="s">
        <v>87</v>
      </c>
      <c r="F10">
        <v>40.677999999999898</v>
      </c>
      <c r="G10" t="s">
        <v>21</v>
      </c>
      <c r="H10">
        <v>1.77</v>
      </c>
      <c r="I10">
        <v>0</v>
      </c>
      <c r="J10">
        <v>0</v>
      </c>
      <c r="L10">
        <v>72</v>
      </c>
      <c r="M10">
        <v>1.77</v>
      </c>
      <c r="N10">
        <v>72</v>
      </c>
      <c r="O10" t="s">
        <v>645</v>
      </c>
      <c r="P10">
        <v>18994</v>
      </c>
    </row>
    <row r="11" spans="1:16" x14ac:dyDescent="0.25">
      <c r="A11" t="s">
        <v>82</v>
      </c>
      <c r="B11" t="s">
        <v>32</v>
      </c>
      <c r="C11" t="s">
        <v>637</v>
      </c>
      <c r="D11" t="s">
        <v>638</v>
      </c>
      <c r="E11" t="s">
        <v>87</v>
      </c>
      <c r="F11">
        <v>26.2669999999999</v>
      </c>
      <c r="G11" t="s">
        <v>21</v>
      </c>
      <c r="H11">
        <v>1.76</v>
      </c>
      <c r="I11">
        <v>0</v>
      </c>
      <c r="J11">
        <v>0</v>
      </c>
      <c r="L11">
        <v>46.23</v>
      </c>
      <c r="M11">
        <v>1.76</v>
      </c>
      <c r="N11">
        <v>46.23</v>
      </c>
      <c r="O11" t="s">
        <v>452</v>
      </c>
      <c r="P11">
        <v>0</v>
      </c>
    </row>
    <row r="12" spans="1:16" x14ac:dyDescent="0.25">
      <c r="A12" t="s">
        <v>23</v>
      </c>
      <c r="B12" t="s">
        <v>103</v>
      </c>
      <c r="C12" t="s">
        <v>634</v>
      </c>
      <c r="D12" t="s">
        <v>635</v>
      </c>
      <c r="E12" t="s">
        <v>30</v>
      </c>
      <c r="F12">
        <v>31.887</v>
      </c>
      <c r="G12" t="s">
        <v>21</v>
      </c>
      <c r="H12">
        <v>1.51</v>
      </c>
      <c r="I12">
        <v>0</v>
      </c>
      <c r="J12">
        <v>0</v>
      </c>
      <c r="L12">
        <v>48.15</v>
      </c>
      <c r="M12">
        <v>1.51</v>
      </c>
      <c r="N12">
        <v>48.15</v>
      </c>
      <c r="O12" t="s">
        <v>646</v>
      </c>
      <c r="P12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P9"/>
  <sheetViews>
    <sheetView workbookViewId="0">
      <selection activeCell="K25" sqref="K25"/>
    </sheetView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95</v>
      </c>
      <c r="C2" t="s">
        <v>647</v>
      </c>
      <c r="D2" t="s">
        <v>648</v>
      </c>
      <c r="E2" t="s">
        <v>30</v>
      </c>
      <c r="F2">
        <v>35.020000000000003</v>
      </c>
      <c r="G2" t="s">
        <v>21</v>
      </c>
      <c r="H2">
        <v>1.48</v>
      </c>
      <c r="I2">
        <v>0</v>
      </c>
      <c r="J2">
        <v>0</v>
      </c>
      <c r="L2">
        <v>51.83</v>
      </c>
      <c r="M2">
        <v>1.48</v>
      </c>
      <c r="N2">
        <v>51.83</v>
      </c>
      <c r="O2" t="s">
        <v>649</v>
      </c>
      <c r="P2">
        <v>0</v>
      </c>
    </row>
    <row r="3" spans="1:16" x14ac:dyDescent="0.25">
      <c r="A3" t="s">
        <v>107</v>
      </c>
      <c r="B3" t="s">
        <v>95</v>
      </c>
      <c r="C3" t="s">
        <v>647</v>
      </c>
      <c r="D3" t="s">
        <v>648</v>
      </c>
      <c r="E3" t="s">
        <v>30</v>
      </c>
      <c r="F3">
        <v>12.2669999999999</v>
      </c>
      <c r="G3" t="s">
        <v>21</v>
      </c>
      <c r="H3">
        <v>1.5</v>
      </c>
      <c r="I3">
        <v>0</v>
      </c>
      <c r="J3">
        <v>0</v>
      </c>
      <c r="L3">
        <v>18.399999999999999</v>
      </c>
      <c r="M3">
        <v>1.5</v>
      </c>
      <c r="N3">
        <v>18.399999999999999</v>
      </c>
      <c r="O3" t="s">
        <v>465</v>
      </c>
      <c r="P3">
        <v>0</v>
      </c>
    </row>
    <row r="4" spans="1:16" x14ac:dyDescent="0.25">
      <c r="A4" t="s">
        <v>324</v>
      </c>
      <c r="B4" t="s">
        <v>217</v>
      </c>
      <c r="C4" t="s">
        <v>647</v>
      </c>
      <c r="D4" t="s">
        <v>648</v>
      </c>
      <c r="E4" t="s">
        <v>30</v>
      </c>
      <c r="F4">
        <v>29.832999999999899</v>
      </c>
      <c r="G4" t="s">
        <v>21</v>
      </c>
      <c r="H4">
        <v>1.43</v>
      </c>
      <c r="I4">
        <v>0</v>
      </c>
      <c r="J4">
        <v>0.03</v>
      </c>
      <c r="K4">
        <v>0.89</v>
      </c>
      <c r="L4">
        <v>42.66</v>
      </c>
      <c r="M4">
        <v>1.5</v>
      </c>
      <c r="N4">
        <v>44.75</v>
      </c>
      <c r="O4" t="s">
        <v>650</v>
      </c>
      <c r="P4">
        <v>0</v>
      </c>
    </row>
    <row r="5" spans="1:16" x14ac:dyDescent="0.25">
      <c r="A5" t="s">
        <v>332</v>
      </c>
      <c r="B5" t="s">
        <v>363</v>
      </c>
      <c r="C5" t="s">
        <v>651</v>
      </c>
      <c r="D5" t="s">
        <v>652</v>
      </c>
      <c r="E5" t="s">
        <v>30</v>
      </c>
      <c r="F5">
        <v>17.376999999999899</v>
      </c>
      <c r="G5" t="s">
        <v>21</v>
      </c>
      <c r="H5">
        <v>1.43</v>
      </c>
      <c r="I5">
        <v>0</v>
      </c>
      <c r="J5">
        <v>0.03</v>
      </c>
      <c r="K5">
        <v>0.52</v>
      </c>
      <c r="L5">
        <v>24.85</v>
      </c>
      <c r="M5">
        <v>1.51</v>
      </c>
      <c r="N5">
        <v>26.24</v>
      </c>
      <c r="O5" t="s">
        <v>653</v>
      </c>
      <c r="P5">
        <v>0</v>
      </c>
    </row>
    <row r="6" spans="1:16" x14ac:dyDescent="0.25">
      <c r="A6" t="s">
        <v>114</v>
      </c>
      <c r="B6" t="s">
        <v>95</v>
      </c>
      <c r="C6" t="s">
        <v>647</v>
      </c>
      <c r="D6" t="s">
        <v>648</v>
      </c>
      <c r="E6" t="s">
        <v>30</v>
      </c>
      <c r="F6">
        <v>35.377000000000002</v>
      </c>
      <c r="G6" t="s">
        <v>21</v>
      </c>
      <c r="H6">
        <v>1.44</v>
      </c>
      <c r="I6">
        <v>0</v>
      </c>
      <c r="J6">
        <v>0.03</v>
      </c>
      <c r="K6">
        <v>1.06</v>
      </c>
      <c r="L6">
        <v>50.94</v>
      </c>
      <c r="M6">
        <v>1.51</v>
      </c>
      <c r="N6">
        <v>53.42</v>
      </c>
      <c r="O6" t="s">
        <v>654</v>
      </c>
      <c r="P6">
        <v>0</v>
      </c>
    </row>
    <row r="7" spans="1:16" x14ac:dyDescent="0.25">
      <c r="A7" t="s">
        <v>145</v>
      </c>
      <c r="B7" t="s">
        <v>95</v>
      </c>
      <c r="C7" t="s">
        <v>647</v>
      </c>
      <c r="D7" t="s">
        <v>648</v>
      </c>
      <c r="E7" t="s">
        <v>30</v>
      </c>
      <c r="F7">
        <v>37.450000000000003</v>
      </c>
      <c r="G7" t="s">
        <v>21</v>
      </c>
      <c r="H7">
        <v>1.43</v>
      </c>
      <c r="I7">
        <v>0</v>
      </c>
      <c r="J7">
        <v>0.03</v>
      </c>
      <c r="K7">
        <v>1.1200000000000001</v>
      </c>
      <c r="L7">
        <v>53.55</v>
      </c>
      <c r="M7">
        <v>1.51</v>
      </c>
      <c r="N7">
        <v>56.55</v>
      </c>
      <c r="O7" t="s">
        <v>655</v>
      </c>
      <c r="P7">
        <v>0</v>
      </c>
    </row>
    <row r="8" spans="1:16" x14ac:dyDescent="0.25">
      <c r="A8" t="s">
        <v>371</v>
      </c>
      <c r="B8" t="s">
        <v>95</v>
      </c>
      <c r="C8" t="s">
        <v>647</v>
      </c>
      <c r="D8" t="s">
        <v>648</v>
      </c>
      <c r="E8" t="s">
        <v>30</v>
      </c>
      <c r="F8">
        <v>39.113</v>
      </c>
      <c r="G8" t="s">
        <v>21</v>
      </c>
      <c r="H8">
        <v>1.42</v>
      </c>
      <c r="I8">
        <v>0</v>
      </c>
      <c r="J8">
        <v>0.03</v>
      </c>
      <c r="K8">
        <v>1.17</v>
      </c>
      <c r="L8">
        <v>55.54</v>
      </c>
      <c r="M8">
        <v>1.51</v>
      </c>
      <c r="N8">
        <v>59.06</v>
      </c>
      <c r="O8" t="s">
        <v>656</v>
      </c>
      <c r="P8">
        <v>0</v>
      </c>
    </row>
    <row r="9" spans="1:16" x14ac:dyDescent="0.25">
      <c r="A9" t="s">
        <v>86</v>
      </c>
      <c r="B9" t="s">
        <v>95</v>
      </c>
      <c r="C9" t="s">
        <v>657</v>
      </c>
      <c r="D9" t="s">
        <v>658</v>
      </c>
      <c r="E9" t="s">
        <v>20</v>
      </c>
      <c r="F9">
        <v>51.281999999999897</v>
      </c>
      <c r="G9" t="s">
        <v>21</v>
      </c>
      <c r="H9">
        <v>1.69</v>
      </c>
      <c r="I9">
        <v>0</v>
      </c>
      <c r="J9">
        <v>0.02</v>
      </c>
      <c r="K9">
        <v>1.03</v>
      </c>
      <c r="L9">
        <v>86.67</v>
      </c>
      <c r="M9">
        <v>1.81</v>
      </c>
      <c r="N9">
        <v>92.82</v>
      </c>
      <c r="O9" t="s">
        <v>260</v>
      </c>
      <c r="P9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P7"/>
  <sheetViews>
    <sheetView workbookViewId="0"/>
  </sheetViews>
  <sheetFormatPr defaultRowHeight="15" x14ac:dyDescent="0.25"/>
  <cols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24</v>
      </c>
      <c r="C2" t="s">
        <v>659</v>
      </c>
      <c r="D2" t="s">
        <v>660</v>
      </c>
      <c r="E2" t="s">
        <v>30</v>
      </c>
      <c r="F2">
        <v>39.689</v>
      </c>
      <c r="G2" t="s">
        <v>21</v>
      </c>
      <c r="H2">
        <v>1.43</v>
      </c>
      <c r="I2">
        <v>0</v>
      </c>
      <c r="J2">
        <v>0.03</v>
      </c>
      <c r="K2">
        <v>1.19</v>
      </c>
      <c r="L2">
        <v>56.76</v>
      </c>
      <c r="M2">
        <v>1.48</v>
      </c>
      <c r="N2">
        <v>58.74</v>
      </c>
      <c r="O2" t="s">
        <v>661</v>
      </c>
      <c r="P2">
        <v>0</v>
      </c>
    </row>
    <row r="3" spans="1:16" x14ac:dyDescent="0.25">
      <c r="A3" t="s">
        <v>111</v>
      </c>
      <c r="B3" t="s">
        <v>17</v>
      </c>
      <c r="C3" t="s">
        <v>662</v>
      </c>
      <c r="D3" t="s">
        <v>663</v>
      </c>
      <c r="E3" t="s">
        <v>20</v>
      </c>
      <c r="F3">
        <v>48.281999999999897</v>
      </c>
      <c r="G3" t="s">
        <v>21</v>
      </c>
      <c r="H3">
        <v>1.73</v>
      </c>
      <c r="I3">
        <v>0</v>
      </c>
      <c r="J3">
        <v>0.01</v>
      </c>
      <c r="K3">
        <v>0.48</v>
      </c>
      <c r="L3">
        <v>83.53</v>
      </c>
      <c r="M3">
        <v>1.77</v>
      </c>
      <c r="N3">
        <v>85.46</v>
      </c>
      <c r="O3" t="s">
        <v>664</v>
      </c>
      <c r="P3">
        <v>0</v>
      </c>
    </row>
    <row r="4" spans="1:16" x14ac:dyDescent="0.25">
      <c r="A4" t="s">
        <v>70</v>
      </c>
      <c r="B4" t="s">
        <v>32</v>
      </c>
      <c r="C4" t="s">
        <v>665</v>
      </c>
      <c r="D4" t="s">
        <v>666</v>
      </c>
      <c r="E4" t="s">
        <v>20</v>
      </c>
      <c r="F4">
        <v>66.159999999999897</v>
      </c>
      <c r="G4" t="s">
        <v>21</v>
      </c>
      <c r="H4">
        <v>1.76</v>
      </c>
      <c r="I4">
        <v>0</v>
      </c>
      <c r="J4">
        <v>0.02</v>
      </c>
      <c r="K4">
        <v>1.32</v>
      </c>
      <c r="L4">
        <v>116.44</v>
      </c>
      <c r="M4">
        <v>1.81</v>
      </c>
      <c r="N4">
        <v>119.75</v>
      </c>
      <c r="O4" t="s">
        <v>667</v>
      </c>
      <c r="P4">
        <v>110000</v>
      </c>
    </row>
    <row r="5" spans="1:16" x14ac:dyDescent="0.25">
      <c r="A5" t="s">
        <v>72</v>
      </c>
      <c r="B5" t="s">
        <v>17</v>
      </c>
      <c r="C5" t="s">
        <v>659</v>
      </c>
      <c r="D5" t="s">
        <v>660</v>
      </c>
      <c r="E5" t="s">
        <v>30</v>
      </c>
      <c r="F5">
        <v>37.841000000000001</v>
      </c>
      <c r="G5" t="s">
        <v>21</v>
      </c>
      <c r="H5">
        <v>1.43</v>
      </c>
      <c r="I5">
        <v>0</v>
      </c>
      <c r="J5">
        <v>0.03</v>
      </c>
      <c r="K5">
        <v>1.1399999999999999</v>
      </c>
      <c r="L5">
        <v>54.11</v>
      </c>
      <c r="M5">
        <v>1.51</v>
      </c>
      <c r="N5">
        <v>57.14</v>
      </c>
      <c r="O5" t="s">
        <v>198</v>
      </c>
      <c r="P5">
        <v>0</v>
      </c>
    </row>
    <row r="6" spans="1:16" x14ac:dyDescent="0.25">
      <c r="A6" t="s">
        <v>16</v>
      </c>
      <c r="B6" t="s">
        <v>32</v>
      </c>
      <c r="C6" t="s">
        <v>665</v>
      </c>
      <c r="D6" t="s">
        <v>666</v>
      </c>
      <c r="E6" t="s">
        <v>20</v>
      </c>
      <c r="F6">
        <v>65.7289999999999</v>
      </c>
      <c r="G6" t="s">
        <v>21</v>
      </c>
      <c r="H6">
        <v>1.7</v>
      </c>
      <c r="I6">
        <v>0</v>
      </c>
      <c r="J6">
        <v>0.03</v>
      </c>
      <c r="K6">
        <v>1.97</v>
      </c>
      <c r="L6">
        <v>111.74</v>
      </c>
      <c r="M6">
        <v>1.81</v>
      </c>
      <c r="N6">
        <v>118.97</v>
      </c>
      <c r="O6" t="s">
        <v>668</v>
      </c>
      <c r="P6">
        <v>115000</v>
      </c>
    </row>
    <row r="7" spans="1:16" x14ac:dyDescent="0.25">
      <c r="A7" t="s">
        <v>16</v>
      </c>
      <c r="B7" t="s">
        <v>32</v>
      </c>
      <c r="C7" t="s">
        <v>665</v>
      </c>
      <c r="D7" t="s">
        <v>666</v>
      </c>
      <c r="E7" t="s">
        <v>64</v>
      </c>
      <c r="F7">
        <v>1.3879999999999899</v>
      </c>
      <c r="G7" t="s">
        <v>21</v>
      </c>
      <c r="H7">
        <v>2.06</v>
      </c>
      <c r="I7">
        <v>0</v>
      </c>
      <c r="J7">
        <v>0</v>
      </c>
      <c r="L7">
        <v>2.86</v>
      </c>
      <c r="M7">
        <v>2.06</v>
      </c>
      <c r="N7">
        <v>2.86</v>
      </c>
      <c r="O7" t="s">
        <v>668</v>
      </c>
      <c r="P7">
        <v>115000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6"/>
  <sheetViews>
    <sheetView workbookViewId="0">
      <selection activeCell="L2" sqref="L2:L6"/>
    </sheetView>
  </sheetViews>
  <sheetFormatPr defaultRowHeight="15" x14ac:dyDescent="0.25"/>
  <cols>
    <col min="1" max="1" width="10.42578125" bestFit="1" customWidth="1"/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51</v>
      </c>
      <c r="B2" t="s">
        <v>103</v>
      </c>
      <c r="C2" t="s">
        <v>669</v>
      </c>
      <c r="D2" t="s">
        <v>670</v>
      </c>
      <c r="E2" t="s">
        <v>20</v>
      </c>
      <c r="F2">
        <v>48.859000000000002</v>
      </c>
      <c r="G2" t="s">
        <v>21</v>
      </c>
      <c r="H2">
        <v>1.65</v>
      </c>
      <c r="I2">
        <v>0</v>
      </c>
      <c r="J2">
        <v>0</v>
      </c>
      <c r="K2">
        <v>0.15</v>
      </c>
      <c r="L2">
        <v>80.62</v>
      </c>
      <c r="M2">
        <v>1.7</v>
      </c>
      <c r="N2">
        <v>83.06</v>
      </c>
      <c r="O2" t="s">
        <v>671</v>
      </c>
      <c r="P2">
        <v>0</v>
      </c>
    </row>
    <row r="3" spans="1:16" x14ac:dyDescent="0.25">
      <c r="A3" t="s">
        <v>185</v>
      </c>
      <c r="B3" t="s">
        <v>103</v>
      </c>
      <c r="C3" t="s">
        <v>669</v>
      </c>
      <c r="D3" t="s">
        <v>670</v>
      </c>
      <c r="E3" t="s">
        <v>20</v>
      </c>
      <c r="F3">
        <v>70.198999999999899</v>
      </c>
      <c r="G3" t="s">
        <v>21</v>
      </c>
      <c r="H3">
        <v>1.73</v>
      </c>
      <c r="I3">
        <v>0</v>
      </c>
      <c r="J3">
        <v>0.01</v>
      </c>
      <c r="K3">
        <v>0.7</v>
      </c>
      <c r="L3">
        <v>121.44</v>
      </c>
      <c r="M3">
        <v>1.76</v>
      </c>
      <c r="N3">
        <v>123.55</v>
      </c>
      <c r="O3" t="s">
        <v>672</v>
      </c>
      <c r="P3">
        <v>0</v>
      </c>
    </row>
    <row r="4" spans="1:16" x14ac:dyDescent="0.25">
      <c r="A4" t="s">
        <v>77</v>
      </c>
      <c r="B4" t="s">
        <v>103</v>
      </c>
      <c r="C4" t="s">
        <v>669</v>
      </c>
      <c r="D4" t="s">
        <v>670</v>
      </c>
      <c r="E4" t="s">
        <v>20</v>
      </c>
      <c r="F4">
        <v>61</v>
      </c>
      <c r="G4" t="s">
        <v>21</v>
      </c>
      <c r="H4">
        <v>1.73</v>
      </c>
      <c r="I4">
        <v>0</v>
      </c>
      <c r="J4">
        <v>0.02</v>
      </c>
      <c r="K4">
        <v>1.22</v>
      </c>
      <c r="L4">
        <v>105.53</v>
      </c>
      <c r="M4">
        <v>1.82</v>
      </c>
      <c r="N4">
        <v>111.02</v>
      </c>
      <c r="O4" t="s">
        <v>479</v>
      </c>
      <c r="P4">
        <v>0</v>
      </c>
    </row>
    <row r="5" spans="1:16" x14ac:dyDescent="0.25">
      <c r="A5" t="s">
        <v>83</v>
      </c>
      <c r="B5" t="s">
        <v>673</v>
      </c>
      <c r="C5" t="s">
        <v>669</v>
      </c>
      <c r="D5" t="s">
        <v>670</v>
      </c>
      <c r="E5" t="s">
        <v>20</v>
      </c>
      <c r="F5">
        <v>37.021999999999899</v>
      </c>
      <c r="G5" t="s">
        <v>21</v>
      </c>
      <c r="H5">
        <v>1.69</v>
      </c>
      <c r="I5">
        <v>0</v>
      </c>
      <c r="J5">
        <v>0.02</v>
      </c>
      <c r="K5">
        <v>0.74</v>
      </c>
      <c r="L5">
        <v>62.57</v>
      </c>
      <c r="M5">
        <v>1.81</v>
      </c>
      <c r="N5">
        <v>67.010000000000005</v>
      </c>
      <c r="O5" t="s">
        <v>674</v>
      </c>
      <c r="P5">
        <v>0</v>
      </c>
    </row>
    <row r="6" spans="1:16" x14ac:dyDescent="0.25">
      <c r="A6" t="s">
        <v>83</v>
      </c>
      <c r="B6" t="s">
        <v>103</v>
      </c>
      <c r="C6" t="s">
        <v>669</v>
      </c>
      <c r="D6" t="s">
        <v>670</v>
      </c>
      <c r="E6" t="s">
        <v>20</v>
      </c>
      <c r="F6">
        <v>44.331000000000003</v>
      </c>
      <c r="G6" t="s">
        <v>21</v>
      </c>
      <c r="H6">
        <v>1.69</v>
      </c>
      <c r="I6">
        <v>0</v>
      </c>
      <c r="J6">
        <v>0.02</v>
      </c>
      <c r="K6">
        <v>0.89</v>
      </c>
      <c r="L6">
        <v>74.92</v>
      </c>
      <c r="M6">
        <v>1.81</v>
      </c>
      <c r="N6">
        <v>80.239999999999995</v>
      </c>
      <c r="O6" t="s">
        <v>675</v>
      </c>
      <c r="P6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P5"/>
  <sheetViews>
    <sheetView workbookViewId="0">
      <selection activeCell="L2" sqref="L2:L5"/>
    </sheetView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185</v>
      </c>
      <c r="B2" t="s">
        <v>95</v>
      </c>
      <c r="C2" t="s">
        <v>676</v>
      </c>
      <c r="D2" t="s">
        <v>677</v>
      </c>
      <c r="E2" t="s">
        <v>20</v>
      </c>
      <c r="F2">
        <v>34.25</v>
      </c>
      <c r="G2" t="s">
        <v>21</v>
      </c>
      <c r="H2">
        <v>1.73</v>
      </c>
      <c r="I2">
        <v>0</v>
      </c>
      <c r="J2">
        <v>0.01</v>
      </c>
      <c r="K2">
        <v>0.34</v>
      </c>
      <c r="L2">
        <v>59.25</v>
      </c>
      <c r="M2">
        <v>1.76</v>
      </c>
      <c r="N2">
        <v>60.28</v>
      </c>
      <c r="O2" t="s">
        <v>678</v>
      </c>
      <c r="P2">
        <v>0</v>
      </c>
    </row>
    <row r="3" spans="1:16" x14ac:dyDescent="0.25">
      <c r="A3" t="s">
        <v>141</v>
      </c>
      <c r="B3" t="s">
        <v>95</v>
      </c>
      <c r="C3" t="s">
        <v>679</v>
      </c>
      <c r="D3" t="s">
        <v>680</v>
      </c>
      <c r="E3" t="s">
        <v>20</v>
      </c>
      <c r="F3">
        <v>73.960999999999899</v>
      </c>
      <c r="G3" t="s">
        <v>21</v>
      </c>
      <c r="H3">
        <v>1.75</v>
      </c>
      <c r="I3">
        <v>0</v>
      </c>
      <c r="J3">
        <v>0.02</v>
      </c>
      <c r="K3">
        <v>1.48</v>
      </c>
      <c r="L3">
        <v>129.43</v>
      </c>
      <c r="M3">
        <v>1.81</v>
      </c>
      <c r="N3">
        <v>133.87</v>
      </c>
      <c r="O3" t="s">
        <v>331</v>
      </c>
      <c r="P3">
        <v>0</v>
      </c>
    </row>
    <row r="4" spans="1:16" x14ac:dyDescent="0.25">
      <c r="A4" t="s">
        <v>86</v>
      </c>
      <c r="B4" t="s">
        <v>95</v>
      </c>
      <c r="C4" t="s">
        <v>676</v>
      </c>
      <c r="D4" t="s">
        <v>677</v>
      </c>
      <c r="E4" t="s">
        <v>20</v>
      </c>
      <c r="F4">
        <v>35.182000000000002</v>
      </c>
      <c r="G4" t="s">
        <v>21</v>
      </c>
      <c r="H4">
        <v>1.69</v>
      </c>
      <c r="I4">
        <v>0</v>
      </c>
      <c r="J4">
        <v>0.02</v>
      </c>
      <c r="K4">
        <v>0.7</v>
      </c>
      <c r="L4">
        <v>59.46</v>
      </c>
      <c r="M4">
        <v>1.81</v>
      </c>
      <c r="N4">
        <v>63.68</v>
      </c>
      <c r="O4" t="s">
        <v>681</v>
      </c>
      <c r="P4">
        <v>0</v>
      </c>
    </row>
    <row r="5" spans="1:16" x14ac:dyDescent="0.25">
      <c r="A5" t="s">
        <v>151</v>
      </c>
      <c r="B5" t="s">
        <v>95</v>
      </c>
      <c r="C5" t="s">
        <v>679</v>
      </c>
      <c r="D5" t="s">
        <v>680</v>
      </c>
      <c r="E5" t="s">
        <v>20</v>
      </c>
      <c r="F5">
        <v>68.778000000000006</v>
      </c>
      <c r="G5" t="s">
        <v>21</v>
      </c>
      <c r="H5">
        <v>1.67</v>
      </c>
      <c r="I5">
        <v>0</v>
      </c>
      <c r="J5">
        <v>0.02</v>
      </c>
      <c r="K5">
        <v>1.38</v>
      </c>
      <c r="L5">
        <v>114.86</v>
      </c>
      <c r="M5">
        <v>1.8</v>
      </c>
      <c r="N5">
        <v>123.8</v>
      </c>
      <c r="O5" t="s">
        <v>601</v>
      </c>
      <c r="P5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P3"/>
  <sheetViews>
    <sheetView workbookViewId="0"/>
  </sheetViews>
  <sheetFormatPr defaultRowHeight="15" x14ac:dyDescent="0.25"/>
  <cols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23</v>
      </c>
      <c r="B2" t="s">
        <v>32</v>
      </c>
      <c r="C2" t="s">
        <v>682</v>
      </c>
      <c r="D2" t="s">
        <v>683</v>
      </c>
      <c r="E2" t="s">
        <v>30</v>
      </c>
      <c r="F2">
        <v>20</v>
      </c>
      <c r="G2" t="s">
        <v>21</v>
      </c>
      <c r="H2">
        <v>1.48</v>
      </c>
      <c r="I2">
        <v>0.03</v>
      </c>
      <c r="J2">
        <v>0</v>
      </c>
      <c r="K2">
        <v>1.82</v>
      </c>
      <c r="L2">
        <v>29.6</v>
      </c>
      <c r="M2">
        <v>1.51</v>
      </c>
      <c r="N2">
        <v>30.2</v>
      </c>
      <c r="O2" t="s">
        <v>684</v>
      </c>
      <c r="P2">
        <v>0</v>
      </c>
    </row>
    <row r="3" spans="1:16" x14ac:dyDescent="0.25">
      <c r="A3" t="s">
        <v>23</v>
      </c>
      <c r="B3" t="s">
        <v>32</v>
      </c>
      <c r="C3" t="s">
        <v>682</v>
      </c>
      <c r="D3" t="s">
        <v>683</v>
      </c>
      <c r="E3" t="s">
        <v>37</v>
      </c>
      <c r="F3">
        <v>29.157</v>
      </c>
      <c r="G3" t="s">
        <v>21</v>
      </c>
      <c r="H3">
        <v>0.82</v>
      </c>
      <c r="I3">
        <v>0.01</v>
      </c>
      <c r="J3">
        <v>0</v>
      </c>
      <c r="K3">
        <v>-5.25</v>
      </c>
      <c r="L3">
        <v>23.91</v>
      </c>
      <c r="M3">
        <v>0.83</v>
      </c>
      <c r="N3">
        <v>24.2</v>
      </c>
      <c r="O3" t="s">
        <v>685</v>
      </c>
      <c r="P3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P4"/>
  <sheetViews>
    <sheetView workbookViewId="0">
      <selection activeCell="O33" sqref="O33"/>
    </sheetView>
  </sheetViews>
  <sheetFormatPr defaultRowHeight="15" x14ac:dyDescent="0.25"/>
  <cols>
    <col min="5" max="5" width="2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82</v>
      </c>
      <c r="B2" t="s">
        <v>103</v>
      </c>
      <c r="C2" t="s">
        <v>686</v>
      </c>
      <c r="D2" t="s">
        <v>687</v>
      </c>
      <c r="E2" t="s">
        <v>30</v>
      </c>
      <c r="F2">
        <v>10</v>
      </c>
      <c r="G2" t="s">
        <v>21</v>
      </c>
      <c r="H2">
        <v>1.48</v>
      </c>
      <c r="I2">
        <v>0.03</v>
      </c>
      <c r="J2">
        <v>0</v>
      </c>
      <c r="K2">
        <v>0.91</v>
      </c>
      <c r="L2">
        <v>14.8</v>
      </c>
      <c r="M2">
        <v>1.51</v>
      </c>
      <c r="N2">
        <v>15.1</v>
      </c>
      <c r="O2" t="s">
        <v>688</v>
      </c>
      <c r="P2">
        <v>0</v>
      </c>
    </row>
    <row r="3" spans="1:16" x14ac:dyDescent="0.25">
      <c r="A3" t="s">
        <v>16</v>
      </c>
      <c r="B3" t="s">
        <v>103</v>
      </c>
      <c r="C3" t="s">
        <v>689</v>
      </c>
      <c r="D3" t="s">
        <v>690</v>
      </c>
      <c r="E3" t="s">
        <v>37</v>
      </c>
      <c r="F3">
        <v>35.325000000000003</v>
      </c>
      <c r="G3" t="s">
        <v>21</v>
      </c>
      <c r="H3">
        <v>0.82</v>
      </c>
      <c r="I3">
        <v>0.01</v>
      </c>
      <c r="J3">
        <v>0</v>
      </c>
      <c r="K3">
        <v>-6.36</v>
      </c>
      <c r="L3">
        <v>28.97</v>
      </c>
      <c r="M3">
        <v>0.83</v>
      </c>
      <c r="N3">
        <v>29.32</v>
      </c>
      <c r="O3" t="s">
        <v>553</v>
      </c>
      <c r="P3">
        <v>0</v>
      </c>
    </row>
    <row r="4" spans="1:16" x14ac:dyDescent="0.25">
      <c r="A4" t="s">
        <v>86</v>
      </c>
      <c r="B4" t="s">
        <v>103</v>
      </c>
      <c r="C4" t="s">
        <v>686</v>
      </c>
      <c r="D4" t="s">
        <v>687</v>
      </c>
      <c r="E4" t="s">
        <v>30</v>
      </c>
      <c r="F4">
        <v>11.4369999999999</v>
      </c>
      <c r="G4" t="s">
        <v>21</v>
      </c>
      <c r="H4">
        <v>1.48</v>
      </c>
      <c r="I4">
        <v>0.03</v>
      </c>
      <c r="J4">
        <v>0</v>
      </c>
      <c r="K4">
        <v>1.04</v>
      </c>
      <c r="L4">
        <v>16.93</v>
      </c>
      <c r="M4">
        <v>1.51</v>
      </c>
      <c r="N4">
        <v>17.27</v>
      </c>
      <c r="O4" t="s">
        <v>691</v>
      </c>
      <c r="P4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P3"/>
  <sheetViews>
    <sheetView workbookViewId="0"/>
  </sheetViews>
  <sheetFormatPr defaultRowHeight="15" x14ac:dyDescent="0.25"/>
  <cols>
    <col min="5" max="5" width="1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82</v>
      </c>
      <c r="B2" t="s">
        <v>32</v>
      </c>
      <c r="C2" t="s">
        <v>692</v>
      </c>
      <c r="D2" t="s">
        <v>693</v>
      </c>
      <c r="E2" t="s">
        <v>37</v>
      </c>
      <c r="F2">
        <v>24.8919999999999</v>
      </c>
      <c r="G2" t="s">
        <v>21</v>
      </c>
      <c r="H2">
        <v>0.82</v>
      </c>
      <c r="I2">
        <v>0.01</v>
      </c>
      <c r="J2">
        <v>0</v>
      </c>
      <c r="K2">
        <v>-4.4800000000000004</v>
      </c>
      <c r="L2">
        <v>20.41</v>
      </c>
      <c r="M2">
        <v>0.83</v>
      </c>
      <c r="N2">
        <v>20.66</v>
      </c>
      <c r="O2" t="s">
        <v>694</v>
      </c>
      <c r="P2">
        <v>135676</v>
      </c>
    </row>
    <row r="3" spans="1:16" x14ac:dyDescent="0.25">
      <c r="A3" t="s">
        <v>151</v>
      </c>
      <c r="B3" t="s">
        <v>32</v>
      </c>
      <c r="C3" t="s">
        <v>692</v>
      </c>
      <c r="D3" t="s">
        <v>693</v>
      </c>
      <c r="E3" t="s">
        <v>37</v>
      </c>
      <c r="F3">
        <v>22.8919999999999</v>
      </c>
      <c r="G3" t="s">
        <v>21</v>
      </c>
      <c r="H3">
        <v>0.82</v>
      </c>
      <c r="I3">
        <v>0.01</v>
      </c>
      <c r="J3">
        <v>0</v>
      </c>
      <c r="K3">
        <v>-4.12</v>
      </c>
      <c r="L3">
        <v>18.77</v>
      </c>
      <c r="M3">
        <v>0.83</v>
      </c>
      <c r="N3">
        <v>19</v>
      </c>
      <c r="O3" t="s">
        <v>695</v>
      </c>
      <c r="P3">
        <v>136000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P9"/>
  <sheetViews>
    <sheetView workbookViewId="0"/>
  </sheetViews>
  <sheetFormatPr defaultRowHeight="15" x14ac:dyDescent="0.25"/>
  <cols>
    <col min="1" max="1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66</v>
      </c>
      <c r="B2" t="s">
        <v>445</v>
      </c>
      <c r="C2" t="s">
        <v>696</v>
      </c>
      <c r="D2" t="s">
        <v>697</v>
      </c>
      <c r="E2" t="s">
        <v>30</v>
      </c>
      <c r="F2">
        <v>45.32</v>
      </c>
      <c r="G2" t="s">
        <v>21</v>
      </c>
      <c r="H2">
        <v>1.43</v>
      </c>
      <c r="I2">
        <v>0</v>
      </c>
      <c r="J2">
        <v>0.03</v>
      </c>
      <c r="K2">
        <v>1.36</v>
      </c>
      <c r="L2">
        <v>64.81</v>
      </c>
      <c r="M2">
        <v>1.5</v>
      </c>
      <c r="N2">
        <v>67.98</v>
      </c>
      <c r="O2" t="s">
        <v>396</v>
      </c>
      <c r="P2">
        <v>0</v>
      </c>
    </row>
    <row r="3" spans="1:16" x14ac:dyDescent="0.25">
      <c r="A3" t="s">
        <v>158</v>
      </c>
      <c r="B3" t="s">
        <v>386</v>
      </c>
      <c r="C3" t="s">
        <v>696</v>
      </c>
      <c r="D3" t="s">
        <v>697</v>
      </c>
      <c r="E3" t="s">
        <v>30</v>
      </c>
      <c r="F3">
        <v>31.722000000000001</v>
      </c>
      <c r="G3" t="s">
        <v>21</v>
      </c>
      <c r="H3">
        <v>1.44</v>
      </c>
      <c r="I3">
        <v>0</v>
      </c>
      <c r="J3">
        <v>0.03</v>
      </c>
      <c r="K3">
        <v>0.95</v>
      </c>
      <c r="L3">
        <v>45.68</v>
      </c>
      <c r="M3">
        <v>1.51</v>
      </c>
      <c r="N3">
        <v>47.9</v>
      </c>
      <c r="O3" t="s">
        <v>410</v>
      </c>
      <c r="P3">
        <v>0</v>
      </c>
    </row>
    <row r="4" spans="1:16" x14ac:dyDescent="0.25">
      <c r="A4" t="s">
        <v>136</v>
      </c>
      <c r="B4" t="s">
        <v>237</v>
      </c>
      <c r="C4" t="s">
        <v>696</v>
      </c>
      <c r="D4" t="s">
        <v>697</v>
      </c>
      <c r="E4" t="s">
        <v>30</v>
      </c>
      <c r="F4">
        <v>54.927</v>
      </c>
      <c r="G4" t="s">
        <v>21</v>
      </c>
      <c r="H4">
        <v>1.44</v>
      </c>
      <c r="I4">
        <v>0</v>
      </c>
      <c r="J4">
        <v>0.03</v>
      </c>
      <c r="K4">
        <v>1.65</v>
      </c>
      <c r="L4">
        <v>79.09</v>
      </c>
      <c r="M4">
        <v>1.51</v>
      </c>
      <c r="N4">
        <v>82.94</v>
      </c>
      <c r="O4" t="s">
        <v>698</v>
      </c>
      <c r="P4">
        <v>0</v>
      </c>
    </row>
    <row r="5" spans="1:16" x14ac:dyDescent="0.25">
      <c r="A5" t="s">
        <v>136</v>
      </c>
      <c r="B5" t="s">
        <v>237</v>
      </c>
      <c r="C5" t="s">
        <v>696</v>
      </c>
      <c r="D5" t="s">
        <v>697</v>
      </c>
      <c r="E5" t="s">
        <v>351</v>
      </c>
      <c r="F5">
        <v>1</v>
      </c>
      <c r="G5" t="s">
        <v>210</v>
      </c>
      <c r="H5">
        <v>4.34</v>
      </c>
      <c r="I5">
        <v>0</v>
      </c>
      <c r="J5">
        <v>0</v>
      </c>
      <c r="L5">
        <v>4.34</v>
      </c>
      <c r="M5">
        <v>4.34</v>
      </c>
      <c r="N5">
        <v>4.34</v>
      </c>
      <c r="O5" t="s">
        <v>698</v>
      </c>
      <c r="P5">
        <v>0</v>
      </c>
    </row>
    <row r="6" spans="1:16" x14ac:dyDescent="0.25">
      <c r="A6" t="s">
        <v>70</v>
      </c>
      <c r="B6" t="s">
        <v>219</v>
      </c>
      <c r="C6" t="s">
        <v>696</v>
      </c>
      <c r="D6" t="s">
        <v>697</v>
      </c>
      <c r="E6" t="s">
        <v>30</v>
      </c>
      <c r="F6">
        <v>39.073</v>
      </c>
      <c r="G6" t="s">
        <v>21</v>
      </c>
      <c r="H6">
        <v>1.44</v>
      </c>
      <c r="I6">
        <v>0</v>
      </c>
      <c r="J6">
        <v>0.03</v>
      </c>
      <c r="K6">
        <v>1.17</v>
      </c>
      <c r="L6">
        <v>56.27</v>
      </c>
      <c r="M6">
        <v>1.51</v>
      </c>
      <c r="N6">
        <v>59</v>
      </c>
      <c r="O6" t="s">
        <v>699</v>
      </c>
      <c r="P6">
        <v>0</v>
      </c>
    </row>
    <row r="7" spans="1:16" x14ac:dyDescent="0.25">
      <c r="A7" t="s">
        <v>449</v>
      </c>
      <c r="B7" t="s">
        <v>700</v>
      </c>
      <c r="C7" t="s">
        <v>696</v>
      </c>
      <c r="D7" t="s">
        <v>697</v>
      </c>
      <c r="E7" t="s">
        <v>30</v>
      </c>
      <c r="F7">
        <v>85.582999999999899</v>
      </c>
      <c r="G7" t="s">
        <v>21</v>
      </c>
      <c r="H7">
        <v>1.43</v>
      </c>
      <c r="I7">
        <v>0</v>
      </c>
      <c r="J7">
        <v>0.03</v>
      </c>
      <c r="K7">
        <v>2.57</v>
      </c>
      <c r="L7">
        <v>122.38</v>
      </c>
      <c r="M7">
        <v>1.51</v>
      </c>
      <c r="N7">
        <v>129.22999999999999</v>
      </c>
      <c r="O7" t="s">
        <v>664</v>
      </c>
      <c r="P7">
        <v>0</v>
      </c>
    </row>
    <row r="8" spans="1:16" x14ac:dyDescent="0.25">
      <c r="A8" t="s">
        <v>16</v>
      </c>
      <c r="B8" t="s">
        <v>219</v>
      </c>
      <c r="C8" t="s">
        <v>696</v>
      </c>
      <c r="D8" t="s">
        <v>697</v>
      </c>
      <c r="E8" t="s">
        <v>30</v>
      </c>
      <c r="F8">
        <v>67.748000000000005</v>
      </c>
      <c r="G8" t="s">
        <v>21</v>
      </c>
      <c r="H8">
        <v>1.43</v>
      </c>
      <c r="I8">
        <v>0</v>
      </c>
      <c r="J8">
        <v>0.04</v>
      </c>
      <c r="K8">
        <v>2.71</v>
      </c>
      <c r="L8">
        <v>96.88</v>
      </c>
      <c r="M8">
        <v>1.51</v>
      </c>
      <c r="N8">
        <v>102.3</v>
      </c>
      <c r="O8" t="s">
        <v>701</v>
      </c>
      <c r="P8">
        <v>0</v>
      </c>
    </row>
    <row r="9" spans="1:16" x14ac:dyDescent="0.25">
      <c r="A9" t="s">
        <v>151</v>
      </c>
      <c r="B9" t="s">
        <v>43</v>
      </c>
      <c r="C9" t="s">
        <v>696</v>
      </c>
      <c r="D9" t="s">
        <v>697</v>
      </c>
      <c r="E9" t="s">
        <v>30</v>
      </c>
      <c r="F9">
        <v>50.277999999999899</v>
      </c>
      <c r="G9" t="s">
        <v>21</v>
      </c>
      <c r="H9">
        <v>1.43</v>
      </c>
      <c r="I9">
        <v>0</v>
      </c>
      <c r="J9">
        <v>0.04</v>
      </c>
      <c r="K9">
        <v>2.0099999999999998</v>
      </c>
      <c r="L9">
        <v>71.900000000000006</v>
      </c>
      <c r="M9">
        <v>1.51</v>
      </c>
      <c r="N9">
        <v>75.92</v>
      </c>
      <c r="O9" t="s">
        <v>38</v>
      </c>
      <c r="P9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P2"/>
  <sheetViews>
    <sheetView workbookViewId="0"/>
  </sheetViews>
  <sheetFormatPr defaultRowHeight="15" x14ac:dyDescent="0.25"/>
  <cols>
    <col min="5" max="5" width="1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23</v>
      </c>
      <c r="B2" t="s">
        <v>130</v>
      </c>
      <c r="C2" t="s">
        <v>702</v>
      </c>
      <c r="D2" t="s">
        <v>703</v>
      </c>
      <c r="E2" t="s">
        <v>37</v>
      </c>
      <c r="F2">
        <v>28.0719999999999</v>
      </c>
      <c r="G2" t="s">
        <v>21</v>
      </c>
      <c r="H2">
        <v>0.82</v>
      </c>
      <c r="I2">
        <v>0.01</v>
      </c>
      <c r="J2">
        <v>0</v>
      </c>
      <c r="K2">
        <v>-5.05</v>
      </c>
      <c r="L2">
        <v>23.02</v>
      </c>
      <c r="M2">
        <v>0.83</v>
      </c>
      <c r="N2">
        <v>23.3</v>
      </c>
      <c r="O2" t="s">
        <v>704</v>
      </c>
      <c r="P2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P4"/>
  <sheetViews>
    <sheetView workbookViewId="0"/>
  </sheetViews>
  <sheetFormatPr defaultRowHeight="15" x14ac:dyDescent="0.25"/>
  <cols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145</v>
      </c>
      <c r="B2" t="s">
        <v>17</v>
      </c>
      <c r="C2" t="s">
        <v>705</v>
      </c>
      <c r="D2" t="s">
        <v>706</v>
      </c>
      <c r="E2" t="s">
        <v>20</v>
      </c>
      <c r="F2">
        <v>30.719999999999899</v>
      </c>
      <c r="G2" t="s">
        <v>21</v>
      </c>
      <c r="H2">
        <v>1.79</v>
      </c>
      <c r="I2">
        <v>0.03</v>
      </c>
      <c r="J2">
        <v>0</v>
      </c>
      <c r="K2">
        <v>2.83</v>
      </c>
      <c r="L2">
        <v>54.99</v>
      </c>
      <c r="M2">
        <v>1.82</v>
      </c>
      <c r="N2">
        <v>55.91</v>
      </c>
      <c r="O2" t="s">
        <v>596</v>
      </c>
      <c r="P2">
        <v>0</v>
      </c>
    </row>
    <row r="3" spans="1:16" x14ac:dyDescent="0.25">
      <c r="A3" t="s">
        <v>82</v>
      </c>
      <c r="B3" t="s">
        <v>24</v>
      </c>
      <c r="C3" t="s">
        <v>707</v>
      </c>
      <c r="D3" t="s">
        <v>708</v>
      </c>
      <c r="E3" t="s">
        <v>20</v>
      </c>
      <c r="F3">
        <v>78.132000000000005</v>
      </c>
      <c r="G3" t="s">
        <v>21</v>
      </c>
      <c r="H3">
        <v>1.79</v>
      </c>
      <c r="I3">
        <v>0.03</v>
      </c>
      <c r="J3">
        <v>0</v>
      </c>
      <c r="K3">
        <v>8.83</v>
      </c>
      <c r="L3">
        <v>139.86000000000001</v>
      </c>
      <c r="M3">
        <v>1.82</v>
      </c>
      <c r="N3">
        <v>142.19999999999999</v>
      </c>
      <c r="O3" t="s">
        <v>597</v>
      </c>
      <c r="P3">
        <v>0</v>
      </c>
    </row>
    <row r="4" spans="1:16" x14ac:dyDescent="0.25">
      <c r="A4" t="s">
        <v>151</v>
      </c>
      <c r="B4" t="s">
        <v>17</v>
      </c>
      <c r="C4" t="s">
        <v>705</v>
      </c>
      <c r="D4" t="s">
        <v>706</v>
      </c>
      <c r="E4" t="s">
        <v>20</v>
      </c>
      <c r="F4">
        <v>45.649999999999899</v>
      </c>
      <c r="G4" t="s">
        <v>21</v>
      </c>
      <c r="H4">
        <v>1.77</v>
      </c>
      <c r="I4">
        <v>0.03</v>
      </c>
      <c r="J4">
        <v>0</v>
      </c>
      <c r="K4">
        <v>5.66</v>
      </c>
      <c r="L4">
        <v>80.8</v>
      </c>
      <c r="M4">
        <v>1.8</v>
      </c>
      <c r="N4">
        <v>82.17</v>
      </c>
      <c r="O4" t="s">
        <v>41</v>
      </c>
      <c r="P4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P68"/>
  <sheetViews>
    <sheetView topLeftCell="A40" workbookViewId="0">
      <selection activeCell="F66" sqref="F66"/>
    </sheetView>
  </sheetViews>
  <sheetFormatPr defaultRowHeight="15" x14ac:dyDescent="0.25"/>
  <cols>
    <col min="1" max="1" width="10.42578125" bestFit="1" customWidth="1"/>
    <col min="2" max="2" width="30" bestFit="1" customWidth="1"/>
    <col min="3" max="3" width="9.5703125" bestFit="1" customWidth="1"/>
    <col min="4" max="4" width="18.28515625" bestFit="1" customWidth="1"/>
    <col min="5" max="5" width="40.5703125" bestFit="1" customWidth="1"/>
    <col min="6" max="6" width="9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70</v>
      </c>
      <c r="B2" t="s">
        <v>760</v>
      </c>
      <c r="C2" t="s">
        <v>743</v>
      </c>
      <c r="D2" t="s">
        <v>744</v>
      </c>
      <c r="E2" t="s">
        <v>20</v>
      </c>
      <c r="F2">
        <v>45</v>
      </c>
      <c r="G2" t="s">
        <v>21</v>
      </c>
      <c r="H2">
        <v>1.76</v>
      </c>
      <c r="I2">
        <v>0</v>
      </c>
      <c r="J2">
        <v>0.02</v>
      </c>
      <c r="K2">
        <v>0.9</v>
      </c>
      <c r="L2">
        <v>79.2</v>
      </c>
      <c r="M2">
        <v>1.81</v>
      </c>
      <c r="N2">
        <v>81.45</v>
      </c>
      <c r="O2" t="s">
        <v>776</v>
      </c>
      <c r="P2">
        <v>0</v>
      </c>
    </row>
    <row r="3" spans="1:16" x14ac:dyDescent="0.25">
      <c r="A3" t="s">
        <v>70</v>
      </c>
      <c r="B3" t="s">
        <v>237</v>
      </c>
      <c r="C3" t="s">
        <v>712</v>
      </c>
      <c r="D3" t="s">
        <v>713</v>
      </c>
      <c r="E3" t="s">
        <v>20</v>
      </c>
      <c r="F3">
        <v>45.308999999999898</v>
      </c>
      <c r="G3" t="s">
        <v>21</v>
      </c>
      <c r="H3">
        <v>1.76</v>
      </c>
      <c r="I3">
        <v>0</v>
      </c>
      <c r="J3">
        <v>0.02</v>
      </c>
      <c r="K3">
        <v>0.91</v>
      </c>
      <c r="L3">
        <v>79.739999999999995</v>
      </c>
      <c r="M3">
        <v>1.81</v>
      </c>
      <c r="N3">
        <v>82.01</v>
      </c>
      <c r="O3" t="s">
        <v>516</v>
      </c>
      <c r="P3">
        <v>0</v>
      </c>
    </row>
    <row r="4" spans="1:16" x14ac:dyDescent="0.25">
      <c r="A4" t="s">
        <v>70</v>
      </c>
      <c r="B4" t="s">
        <v>237</v>
      </c>
      <c r="C4" t="s">
        <v>712</v>
      </c>
      <c r="D4" t="s">
        <v>713</v>
      </c>
      <c r="E4" t="s">
        <v>209</v>
      </c>
      <c r="F4">
        <v>1</v>
      </c>
      <c r="G4" t="s">
        <v>210</v>
      </c>
      <c r="H4">
        <v>9.49</v>
      </c>
      <c r="I4">
        <v>0</v>
      </c>
      <c r="J4">
        <v>0</v>
      </c>
      <c r="L4">
        <v>9.49</v>
      </c>
      <c r="M4">
        <v>9.49</v>
      </c>
      <c r="N4">
        <v>9.49</v>
      </c>
      <c r="O4" t="s">
        <v>516</v>
      </c>
      <c r="P4">
        <v>0</v>
      </c>
    </row>
    <row r="5" spans="1:16" x14ac:dyDescent="0.25">
      <c r="A5" t="s">
        <v>70</v>
      </c>
      <c r="B5" t="s">
        <v>721</v>
      </c>
      <c r="C5" t="s">
        <v>722</v>
      </c>
      <c r="D5" t="s">
        <v>723</v>
      </c>
      <c r="E5" t="s">
        <v>30</v>
      </c>
      <c r="F5">
        <v>10</v>
      </c>
      <c r="G5" t="s">
        <v>21</v>
      </c>
      <c r="H5">
        <v>1.44</v>
      </c>
      <c r="I5">
        <v>0</v>
      </c>
      <c r="J5">
        <v>0.03</v>
      </c>
      <c r="K5">
        <v>0.3</v>
      </c>
      <c r="L5">
        <v>14.4</v>
      </c>
      <c r="M5">
        <v>1.51</v>
      </c>
      <c r="N5">
        <v>15.1</v>
      </c>
      <c r="O5" t="s">
        <v>777</v>
      </c>
      <c r="P5">
        <v>0</v>
      </c>
    </row>
    <row r="6" spans="1:16" x14ac:dyDescent="0.25">
      <c r="A6" t="s">
        <v>70</v>
      </c>
      <c r="B6" t="s">
        <v>207</v>
      </c>
      <c r="C6" t="s">
        <v>778</v>
      </c>
      <c r="D6" t="s">
        <v>779</v>
      </c>
      <c r="E6" t="s">
        <v>20</v>
      </c>
      <c r="F6">
        <v>32.7899999999999</v>
      </c>
      <c r="G6" t="s">
        <v>21</v>
      </c>
      <c r="H6">
        <v>1.76</v>
      </c>
      <c r="I6">
        <v>0</v>
      </c>
      <c r="J6">
        <v>0.02</v>
      </c>
      <c r="K6">
        <v>0.66</v>
      </c>
      <c r="L6">
        <v>57.71</v>
      </c>
      <c r="M6">
        <v>1.81</v>
      </c>
      <c r="N6">
        <v>59.35</v>
      </c>
      <c r="O6" t="s">
        <v>149</v>
      </c>
      <c r="P6">
        <v>386594</v>
      </c>
    </row>
    <row r="7" spans="1:16" x14ac:dyDescent="0.25">
      <c r="A7" t="s">
        <v>70</v>
      </c>
      <c r="B7" t="s">
        <v>496</v>
      </c>
      <c r="C7" t="s">
        <v>741</v>
      </c>
      <c r="D7" t="s">
        <v>742</v>
      </c>
      <c r="E7" t="s">
        <v>20</v>
      </c>
      <c r="F7">
        <v>40</v>
      </c>
      <c r="G7" t="s">
        <v>21</v>
      </c>
      <c r="H7">
        <v>1.76</v>
      </c>
      <c r="I7">
        <v>0</v>
      </c>
      <c r="J7">
        <v>0.02</v>
      </c>
      <c r="K7">
        <v>0.8</v>
      </c>
      <c r="L7">
        <v>70.400000000000006</v>
      </c>
      <c r="M7">
        <v>1.81</v>
      </c>
      <c r="N7">
        <v>72.400000000000006</v>
      </c>
      <c r="O7" t="s">
        <v>123</v>
      </c>
      <c r="P7">
        <v>0</v>
      </c>
    </row>
    <row r="8" spans="1:16" x14ac:dyDescent="0.25">
      <c r="A8" t="s">
        <v>141</v>
      </c>
      <c r="B8" t="s">
        <v>237</v>
      </c>
      <c r="C8" t="s">
        <v>731</v>
      </c>
      <c r="D8" t="s">
        <v>732</v>
      </c>
      <c r="E8" t="s">
        <v>20</v>
      </c>
      <c r="F8">
        <v>40</v>
      </c>
      <c r="G8" t="s">
        <v>21</v>
      </c>
      <c r="H8">
        <v>1.75</v>
      </c>
      <c r="I8">
        <v>0</v>
      </c>
      <c r="J8">
        <v>0.02</v>
      </c>
      <c r="K8">
        <v>0.8</v>
      </c>
      <c r="L8">
        <v>70</v>
      </c>
      <c r="M8">
        <v>1.81</v>
      </c>
      <c r="N8">
        <v>72.400000000000006</v>
      </c>
      <c r="O8" t="s">
        <v>503</v>
      </c>
      <c r="P8">
        <v>460537</v>
      </c>
    </row>
    <row r="9" spans="1:16" x14ac:dyDescent="0.25">
      <c r="A9" t="s">
        <v>141</v>
      </c>
      <c r="B9" t="s">
        <v>258</v>
      </c>
      <c r="C9" t="s">
        <v>733</v>
      </c>
      <c r="D9" t="s">
        <v>734</v>
      </c>
      <c r="E9" t="s">
        <v>20</v>
      </c>
      <c r="F9">
        <v>47</v>
      </c>
      <c r="G9" t="s">
        <v>21</v>
      </c>
      <c r="H9">
        <v>1.75</v>
      </c>
      <c r="I9">
        <v>0</v>
      </c>
      <c r="J9">
        <v>0.02</v>
      </c>
      <c r="K9">
        <v>0.94</v>
      </c>
      <c r="L9">
        <v>82.25</v>
      </c>
      <c r="M9">
        <v>1.8</v>
      </c>
      <c r="N9">
        <v>84.6</v>
      </c>
      <c r="O9" t="s">
        <v>780</v>
      </c>
      <c r="P9">
        <v>0</v>
      </c>
    </row>
    <row r="10" spans="1:16" x14ac:dyDescent="0.25">
      <c r="A10" t="s">
        <v>141</v>
      </c>
      <c r="B10" t="s">
        <v>207</v>
      </c>
      <c r="C10" t="s">
        <v>781</v>
      </c>
      <c r="D10" t="s">
        <v>782</v>
      </c>
      <c r="E10" t="s">
        <v>20</v>
      </c>
      <c r="F10">
        <v>33.713000000000001</v>
      </c>
      <c r="G10" t="s">
        <v>21</v>
      </c>
      <c r="H10">
        <v>1.75</v>
      </c>
      <c r="I10">
        <v>0</v>
      </c>
      <c r="J10">
        <v>0.02</v>
      </c>
      <c r="K10">
        <v>0.67</v>
      </c>
      <c r="L10">
        <v>59</v>
      </c>
      <c r="M10">
        <v>1.81</v>
      </c>
      <c r="N10">
        <v>61.02</v>
      </c>
      <c r="O10" t="s">
        <v>783</v>
      </c>
      <c r="P10">
        <v>507781</v>
      </c>
    </row>
    <row r="11" spans="1:16" x14ac:dyDescent="0.25">
      <c r="A11" t="s">
        <v>141</v>
      </c>
      <c r="B11" t="s">
        <v>207</v>
      </c>
      <c r="C11" t="s">
        <v>781</v>
      </c>
      <c r="D11" t="s">
        <v>782</v>
      </c>
      <c r="E11" t="s">
        <v>351</v>
      </c>
      <c r="F11">
        <v>1</v>
      </c>
      <c r="G11" t="s">
        <v>210</v>
      </c>
      <c r="H11">
        <v>4.34</v>
      </c>
      <c r="I11">
        <v>0</v>
      </c>
      <c r="J11">
        <v>0</v>
      </c>
      <c r="L11">
        <v>4.34</v>
      </c>
      <c r="M11">
        <v>4.34</v>
      </c>
      <c r="N11">
        <v>4.34</v>
      </c>
      <c r="O11" t="s">
        <v>783</v>
      </c>
      <c r="P11">
        <v>507781</v>
      </c>
    </row>
    <row r="12" spans="1:16" x14ac:dyDescent="0.25">
      <c r="A12" t="s">
        <v>141</v>
      </c>
      <c r="B12" t="s">
        <v>103</v>
      </c>
      <c r="C12" t="s">
        <v>784</v>
      </c>
      <c r="D12" t="s">
        <v>785</v>
      </c>
      <c r="E12" t="s">
        <v>20</v>
      </c>
      <c r="F12">
        <v>40.011000000000003</v>
      </c>
      <c r="G12" t="s">
        <v>21</v>
      </c>
      <c r="H12">
        <v>1.75</v>
      </c>
      <c r="I12">
        <v>0</v>
      </c>
      <c r="J12">
        <v>0.02</v>
      </c>
      <c r="K12">
        <v>0.8</v>
      </c>
      <c r="L12">
        <v>70.02</v>
      </c>
      <c r="M12">
        <v>1.81</v>
      </c>
      <c r="N12">
        <v>72.42</v>
      </c>
      <c r="O12" t="s">
        <v>786</v>
      </c>
      <c r="P12">
        <v>413186</v>
      </c>
    </row>
    <row r="13" spans="1:16" x14ac:dyDescent="0.25">
      <c r="A13" t="s">
        <v>72</v>
      </c>
      <c r="B13" t="s">
        <v>454</v>
      </c>
      <c r="C13" t="s">
        <v>767</v>
      </c>
      <c r="D13" t="s">
        <v>768</v>
      </c>
      <c r="E13" t="s">
        <v>20</v>
      </c>
      <c r="F13">
        <v>38.829999999999899</v>
      </c>
      <c r="G13" t="s">
        <v>21</v>
      </c>
      <c r="H13">
        <v>1.73</v>
      </c>
      <c r="I13">
        <v>0</v>
      </c>
      <c r="J13">
        <v>0.02</v>
      </c>
      <c r="K13">
        <v>0.78</v>
      </c>
      <c r="L13">
        <v>67.180000000000007</v>
      </c>
      <c r="M13">
        <v>1.82</v>
      </c>
      <c r="N13">
        <v>70.67</v>
      </c>
      <c r="O13" t="s">
        <v>787</v>
      </c>
      <c r="P13">
        <v>228499</v>
      </c>
    </row>
    <row r="14" spans="1:16" x14ac:dyDescent="0.25">
      <c r="A14" t="s">
        <v>72</v>
      </c>
      <c r="B14" t="s">
        <v>431</v>
      </c>
      <c r="C14" t="s">
        <v>736</v>
      </c>
      <c r="D14" t="s">
        <v>737</v>
      </c>
      <c r="E14" t="s">
        <v>20</v>
      </c>
      <c r="F14">
        <v>47.011000000000003</v>
      </c>
      <c r="G14" t="s">
        <v>21</v>
      </c>
      <c r="H14">
        <v>1.73</v>
      </c>
      <c r="I14">
        <v>0</v>
      </c>
      <c r="J14">
        <v>0.02</v>
      </c>
      <c r="K14">
        <v>0.94</v>
      </c>
      <c r="L14">
        <v>81.33</v>
      </c>
      <c r="M14">
        <v>1.82</v>
      </c>
      <c r="N14">
        <v>85.56</v>
      </c>
      <c r="O14" t="s">
        <v>788</v>
      </c>
      <c r="P14">
        <v>0</v>
      </c>
    </row>
    <row r="15" spans="1:16" x14ac:dyDescent="0.25">
      <c r="A15" t="s">
        <v>72</v>
      </c>
      <c r="B15" t="s">
        <v>431</v>
      </c>
      <c r="C15" t="s">
        <v>736</v>
      </c>
      <c r="D15" t="s">
        <v>737</v>
      </c>
      <c r="E15" t="s">
        <v>209</v>
      </c>
      <c r="F15">
        <v>1</v>
      </c>
      <c r="G15" t="s">
        <v>210</v>
      </c>
      <c r="H15">
        <v>8.99</v>
      </c>
      <c r="I15">
        <v>0</v>
      </c>
      <c r="J15">
        <v>0</v>
      </c>
      <c r="L15">
        <v>8.99</v>
      </c>
      <c r="M15">
        <v>8.99</v>
      </c>
      <c r="N15">
        <v>8.99</v>
      </c>
      <c r="O15" t="s">
        <v>788</v>
      </c>
      <c r="P15">
        <v>0</v>
      </c>
    </row>
    <row r="16" spans="1:16" x14ac:dyDescent="0.25">
      <c r="A16" t="s">
        <v>72</v>
      </c>
      <c r="B16" t="s">
        <v>177</v>
      </c>
      <c r="C16" t="s">
        <v>717</v>
      </c>
      <c r="D16" t="s">
        <v>718</v>
      </c>
      <c r="E16" t="s">
        <v>20</v>
      </c>
      <c r="F16">
        <v>119.527</v>
      </c>
      <c r="G16" t="s">
        <v>21</v>
      </c>
      <c r="H16">
        <v>1.73</v>
      </c>
      <c r="I16">
        <v>0</v>
      </c>
      <c r="J16">
        <v>0.02</v>
      </c>
      <c r="K16">
        <v>2.39</v>
      </c>
      <c r="L16">
        <v>206.78</v>
      </c>
      <c r="M16">
        <v>1.82</v>
      </c>
      <c r="N16">
        <v>217.54</v>
      </c>
      <c r="O16" t="s">
        <v>249</v>
      </c>
      <c r="P16">
        <v>0</v>
      </c>
    </row>
    <row r="17" spans="1:16" x14ac:dyDescent="0.25">
      <c r="A17" t="s">
        <v>77</v>
      </c>
      <c r="B17" t="s">
        <v>721</v>
      </c>
      <c r="C17" t="s">
        <v>722</v>
      </c>
      <c r="D17" t="s">
        <v>723</v>
      </c>
      <c r="E17" t="s">
        <v>30</v>
      </c>
      <c r="F17">
        <v>9.0530000000000008</v>
      </c>
      <c r="G17" t="s">
        <v>21</v>
      </c>
      <c r="H17">
        <v>1.43</v>
      </c>
      <c r="I17">
        <v>0</v>
      </c>
      <c r="J17">
        <v>0.03</v>
      </c>
      <c r="K17">
        <v>0.27</v>
      </c>
      <c r="L17">
        <v>12.95</v>
      </c>
      <c r="M17">
        <v>1.51</v>
      </c>
      <c r="N17">
        <v>13.67</v>
      </c>
      <c r="O17" t="s">
        <v>752</v>
      </c>
      <c r="P17">
        <v>0</v>
      </c>
    </row>
    <row r="18" spans="1:16" x14ac:dyDescent="0.25">
      <c r="A18" t="s">
        <v>77</v>
      </c>
      <c r="B18" t="s">
        <v>95</v>
      </c>
      <c r="C18" t="s">
        <v>739</v>
      </c>
      <c r="D18" t="s">
        <v>740</v>
      </c>
      <c r="E18" t="s">
        <v>20</v>
      </c>
      <c r="F18">
        <v>60</v>
      </c>
      <c r="G18" t="s">
        <v>21</v>
      </c>
      <c r="H18">
        <v>1.73</v>
      </c>
      <c r="I18">
        <v>0</v>
      </c>
      <c r="J18">
        <v>0.02</v>
      </c>
      <c r="K18">
        <v>1.2</v>
      </c>
      <c r="L18">
        <v>103.8</v>
      </c>
      <c r="M18">
        <v>1.82</v>
      </c>
      <c r="N18">
        <v>109.2</v>
      </c>
      <c r="O18" t="s">
        <v>789</v>
      </c>
      <c r="P18">
        <v>385854</v>
      </c>
    </row>
    <row r="19" spans="1:16" x14ac:dyDescent="0.25">
      <c r="A19" t="s">
        <v>77</v>
      </c>
      <c r="B19" t="s">
        <v>790</v>
      </c>
      <c r="C19" t="s">
        <v>791</v>
      </c>
      <c r="D19" t="s">
        <v>792</v>
      </c>
      <c r="E19" t="s">
        <v>20</v>
      </c>
      <c r="F19">
        <v>20.873999999999899</v>
      </c>
      <c r="G19" t="s">
        <v>21</v>
      </c>
      <c r="H19">
        <v>1.73</v>
      </c>
      <c r="I19">
        <v>0</v>
      </c>
      <c r="J19">
        <v>0.02</v>
      </c>
      <c r="K19">
        <v>0.42</v>
      </c>
      <c r="L19">
        <v>36.11</v>
      </c>
      <c r="M19">
        <v>1.82</v>
      </c>
      <c r="N19">
        <v>37.99</v>
      </c>
      <c r="O19" t="s">
        <v>251</v>
      </c>
      <c r="P19">
        <v>0</v>
      </c>
    </row>
    <row r="20" spans="1:16" x14ac:dyDescent="0.25">
      <c r="A20" t="s">
        <v>77</v>
      </c>
      <c r="B20" t="s">
        <v>177</v>
      </c>
      <c r="C20" t="s">
        <v>717</v>
      </c>
      <c r="D20" t="s">
        <v>718</v>
      </c>
      <c r="E20" t="s">
        <v>20</v>
      </c>
      <c r="F20">
        <v>125.209</v>
      </c>
      <c r="G20" t="s">
        <v>21</v>
      </c>
      <c r="H20">
        <v>1.73</v>
      </c>
      <c r="I20">
        <v>0</v>
      </c>
      <c r="J20">
        <v>0.02</v>
      </c>
      <c r="K20">
        <v>2.5</v>
      </c>
      <c r="L20">
        <v>216.61</v>
      </c>
      <c r="M20">
        <v>1.82</v>
      </c>
      <c r="N20">
        <v>227.88</v>
      </c>
      <c r="O20" t="s">
        <v>793</v>
      </c>
      <c r="P20">
        <v>0</v>
      </c>
    </row>
    <row r="21" spans="1:16" x14ac:dyDescent="0.25">
      <c r="A21" t="s">
        <v>243</v>
      </c>
      <c r="B21" t="s">
        <v>237</v>
      </c>
      <c r="C21" t="s">
        <v>791</v>
      </c>
      <c r="D21" t="s">
        <v>792</v>
      </c>
      <c r="E21" t="s">
        <v>20</v>
      </c>
      <c r="F21">
        <v>38.692</v>
      </c>
      <c r="G21" t="s">
        <v>21</v>
      </c>
      <c r="H21">
        <v>1.72</v>
      </c>
      <c r="I21">
        <v>0</v>
      </c>
      <c r="J21">
        <v>0.02</v>
      </c>
      <c r="K21">
        <v>0.77</v>
      </c>
      <c r="L21">
        <v>66.55</v>
      </c>
      <c r="M21">
        <v>1.82</v>
      </c>
      <c r="N21">
        <v>70.42</v>
      </c>
      <c r="O21" t="s">
        <v>794</v>
      </c>
      <c r="P21">
        <v>0</v>
      </c>
    </row>
    <row r="22" spans="1:16" x14ac:dyDescent="0.25">
      <c r="A22" t="s">
        <v>243</v>
      </c>
      <c r="B22" t="s">
        <v>205</v>
      </c>
      <c r="C22" t="s">
        <v>725</v>
      </c>
      <c r="D22" t="s">
        <v>726</v>
      </c>
      <c r="E22" t="s">
        <v>20</v>
      </c>
      <c r="F22">
        <v>45.902000000000001</v>
      </c>
      <c r="G22" t="s">
        <v>21</v>
      </c>
      <c r="H22">
        <v>1.72</v>
      </c>
      <c r="I22">
        <v>0</v>
      </c>
      <c r="J22">
        <v>0.02</v>
      </c>
      <c r="K22">
        <v>0.92</v>
      </c>
      <c r="L22">
        <v>78.95</v>
      </c>
      <c r="M22">
        <v>1.83</v>
      </c>
      <c r="N22">
        <v>84</v>
      </c>
      <c r="O22" t="s">
        <v>795</v>
      </c>
      <c r="P22">
        <v>138124</v>
      </c>
    </row>
    <row r="23" spans="1:16" x14ac:dyDescent="0.25">
      <c r="A23" t="s">
        <v>243</v>
      </c>
      <c r="B23" t="s">
        <v>769</v>
      </c>
      <c r="C23" t="s">
        <v>770</v>
      </c>
      <c r="D23" t="s">
        <v>771</v>
      </c>
      <c r="E23" t="s">
        <v>20</v>
      </c>
      <c r="F23">
        <v>49</v>
      </c>
      <c r="G23" t="s">
        <v>21</v>
      </c>
      <c r="H23">
        <v>1.72</v>
      </c>
      <c r="I23">
        <v>0</v>
      </c>
      <c r="J23">
        <v>0.02</v>
      </c>
      <c r="K23">
        <v>0.98</v>
      </c>
      <c r="L23">
        <v>84.28</v>
      </c>
      <c r="M23">
        <v>1.82</v>
      </c>
      <c r="N23">
        <v>89.18</v>
      </c>
      <c r="O23" t="s">
        <v>796</v>
      </c>
      <c r="P23">
        <v>568740</v>
      </c>
    </row>
    <row r="24" spans="1:16" x14ac:dyDescent="0.25">
      <c r="A24" t="s">
        <v>243</v>
      </c>
      <c r="B24" t="s">
        <v>797</v>
      </c>
      <c r="C24" t="s">
        <v>765</v>
      </c>
      <c r="D24" t="s">
        <v>766</v>
      </c>
      <c r="E24" t="s">
        <v>20</v>
      </c>
      <c r="F24">
        <v>42.521999999999899</v>
      </c>
      <c r="G24" t="s">
        <v>21</v>
      </c>
      <c r="H24">
        <v>1.72</v>
      </c>
      <c r="I24">
        <v>0</v>
      </c>
      <c r="J24">
        <v>0.02</v>
      </c>
      <c r="K24">
        <v>0.85</v>
      </c>
      <c r="L24">
        <v>73.14</v>
      </c>
      <c r="M24">
        <v>1.82</v>
      </c>
      <c r="N24">
        <v>77.39</v>
      </c>
      <c r="O24" t="s">
        <v>233</v>
      </c>
      <c r="P24">
        <v>156942</v>
      </c>
    </row>
    <row r="25" spans="1:16" x14ac:dyDescent="0.25">
      <c r="A25" t="s">
        <v>243</v>
      </c>
      <c r="B25" t="s">
        <v>756</v>
      </c>
      <c r="C25" t="s">
        <v>743</v>
      </c>
      <c r="D25" t="s">
        <v>744</v>
      </c>
      <c r="E25" t="s">
        <v>20</v>
      </c>
      <c r="F25">
        <v>30.5</v>
      </c>
      <c r="G25" t="s">
        <v>21</v>
      </c>
      <c r="H25">
        <v>1.72</v>
      </c>
      <c r="I25">
        <v>0</v>
      </c>
      <c r="J25">
        <v>0.02</v>
      </c>
      <c r="K25">
        <v>0.61</v>
      </c>
      <c r="L25">
        <v>52.46</v>
      </c>
      <c r="M25">
        <v>1.82</v>
      </c>
      <c r="N25">
        <v>55.51</v>
      </c>
      <c r="O25" t="s">
        <v>61</v>
      </c>
      <c r="P25">
        <v>0</v>
      </c>
    </row>
    <row r="26" spans="1:16" x14ac:dyDescent="0.25">
      <c r="A26" t="s">
        <v>145</v>
      </c>
      <c r="B26" t="s">
        <v>760</v>
      </c>
      <c r="C26" t="s">
        <v>743</v>
      </c>
      <c r="D26" t="s">
        <v>744</v>
      </c>
      <c r="E26" t="s">
        <v>20</v>
      </c>
      <c r="F26">
        <v>18.099</v>
      </c>
      <c r="G26" t="s">
        <v>21</v>
      </c>
      <c r="H26">
        <v>1.72</v>
      </c>
      <c r="I26">
        <v>0</v>
      </c>
      <c r="J26">
        <v>0.02</v>
      </c>
      <c r="K26">
        <v>0.36</v>
      </c>
      <c r="L26">
        <v>31.13</v>
      </c>
      <c r="M26">
        <v>1.82</v>
      </c>
      <c r="N26">
        <v>32.94</v>
      </c>
      <c r="O26" t="s">
        <v>776</v>
      </c>
      <c r="P26">
        <v>0</v>
      </c>
    </row>
    <row r="27" spans="1:16" x14ac:dyDescent="0.25">
      <c r="A27" t="s">
        <v>145</v>
      </c>
      <c r="B27" t="s">
        <v>709</v>
      </c>
      <c r="C27" t="s">
        <v>747</v>
      </c>
      <c r="D27" t="s">
        <v>748</v>
      </c>
      <c r="E27" t="s">
        <v>20</v>
      </c>
      <c r="F27">
        <v>47</v>
      </c>
      <c r="G27" t="s">
        <v>21</v>
      </c>
      <c r="H27">
        <v>1.72</v>
      </c>
      <c r="I27">
        <v>0</v>
      </c>
      <c r="J27">
        <v>0.02</v>
      </c>
      <c r="K27">
        <v>0.94</v>
      </c>
      <c r="L27">
        <v>80.84</v>
      </c>
      <c r="M27">
        <v>1.82</v>
      </c>
      <c r="N27">
        <v>85.54</v>
      </c>
      <c r="O27" t="s">
        <v>591</v>
      </c>
      <c r="P27">
        <v>219600</v>
      </c>
    </row>
    <row r="28" spans="1:16" x14ac:dyDescent="0.25">
      <c r="A28" t="s">
        <v>145</v>
      </c>
      <c r="B28" t="s">
        <v>258</v>
      </c>
      <c r="C28" t="s">
        <v>733</v>
      </c>
      <c r="D28" t="s">
        <v>734</v>
      </c>
      <c r="E28" t="s">
        <v>20</v>
      </c>
      <c r="F28">
        <v>44</v>
      </c>
      <c r="G28" t="s">
        <v>21</v>
      </c>
      <c r="H28">
        <v>1.72</v>
      </c>
      <c r="I28">
        <v>0</v>
      </c>
      <c r="J28">
        <v>0.02</v>
      </c>
      <c r="K28">
        <v>0.88</v>
      </c>
      <c r="L28">
        <v>75.680000000000007</v>
      </c>
      <c r="M28">
        <v>1.81</v>
      </c>
      <c r="N28">
        <v>79.64</v>
      </c>
      <c r="O28" t="s">
        <v>798</v>
      </c>
      <c r="P28">
        <v>0</v>
      </c>
    </row>
    <row r="29" spans="1:16" x14ac:dyDescent="0.25">
      <c r="A29" t="s">
        <v>145</v>
      </c>
      <c r="B29" t="s">
        <v>721</v>
      </c>
      <c r="C29" t="s">
        <v>722</v>
      </c>
      <c r="D29" t="s">
        <v>723</v>
      </c>
      <c r="E29" t="s">
        <v>30</v>
      </c>
      <c r="F29">
        <v>9.907</v>
      </c>
      <c r="G29" t="s">
        <v>21</v>
      </c>
      <c r="H29">
        <v>1.43</v>
      </c>
      <c r="I29">
        <v>0</v>
      </c>
      <c r="J29">
        <v>0.03</v>
      </c>
      <c r="K29">
        <v>0.3</v>
      </c>
      <c r="L29">
        <v>14.17</v>
      </c>
      <c r="M29">
        <v>1.51</v>
      </c>
      <c r="N29">
        <v>14.96</v>
      </c>
      <c r="O29" t="s">
        <v>296</v>
      </c>
      <c r="P29">
        <v>0</v>
      </c>
    </row>
    <row r="30" spans="1:16" x14ac:dyDescent="0.25">
      <c r="A30" t="s">
        <v>145</v>
      </c>
      <c r="B30" t="s">
        <v>293</v>
      </c>
      <c r="C30" t="s">
        <v>750</v>
      </c>
      <c r="D30" t="s">
        <v>751</v>
      </c>
      <c r="E30" t="s">
        <v>20</v>
      </c>
      <c r="F30">
        <v>35.070999999999898</v>
      </c>
      <c r="G30" t="s">
        <v>21</v>
      </c>
      <c r="H30">
        <v>1.72</v>
      </c>
      <c r="I30">
        <v>0</v>
      </c>
      <c r="J30">
        <v>0.02</v>
      </c>
      <c r="K30">
        <v>0.7</v>
      </c>
      <c r="L30">
        <v>60.32</v>
      </c>
      <c r="M30">
        <v>1.82</v>
      </c>
      <c r="N30">
        <v>63.83</v>
      </c>
      <c r="O30" t="s">
        <v>799</v>
      </c>
      <c r="P30">
        <v>168930</v>
      </c>
    </row>
    <row r="31" spans="1:16" x14ac:dyDescent="0.25">
      <c r="A31" t="s">
        <v>145</v>
      </c>
      <c r="B31" t="s">
        <v>293</v>
      </c>
      <c r="C31" t="s">
        <v>791</v>
      </c>
      <c r="D31" t="s">
        <v>792</v>
      </c>
      <c r="E31" t="s">
        <v>20</v>
      </c>
      <c r="F31">
        <v>39.258000000000003</v>
      </c>
      <c r="G31" t="s">
        <v>21</v>
      </c>
      <c r="H31">
        <v>1.72</v>
      </c>
      <c r="I31">
        <v>0</v>
      </c>
      <c r="J31">
        <v>0.02</v>
      </c>
      <c r="K31">
        <v>0.79</v>
      </c>
      <c r="L31">
        <v>67.52</v>
      </c>
      <c r="M31">
        <v>1.82</v>
      </c>
      <c r="N31">
        <v>71.45</v>
      </c>
      <c r="O31" t="s">
        <v>800</v>
      </c>
      <c r="P31">
        <v>0</v>
      </c>
    </row>
    <row r="32" spans="1:16" x14ac:dyDescent="0.25">
      <c r="A32" t="s">
        <v>82</v>
      </c>
      <c r="B32" t="s">
        <v>237</v>
      </c>
      <c r="C32" t="s">
        <v>731</v>
      </c>
      <c r="D32" t="s">
        <v>732</v>
      </c>
      <c r="E32" t="s">
        <v>20</v>
      </c>
      <c r="F32">
        <v>52</v>
      </c>
      <c r="G32" t="s">
        <v>21</v>
      </c>
      <c r="H32">
        <v>1.7</v>
      </c>
      <c r="I32">
        <v>0</v>
      </c>
      <c r="J32">
        <v>0.02</v>
      </c>
      <c r="K32">
        <v>1.04</v>
      </c>
      <c r="L32">
        <v>88.4</v>
      </c>
      <c r="M32">
        <v>1.82</v>
      </c>
      <c r="N32">
        <v>94.64</v>
      </c>
      <c r="O32" t="s">
        <v>801</v>
      </c>
      <c r="P32">
        <v>461460</v>
      </c>
    </row>
    <row r="33" spans="1:16" x14ac:dyDescent="0.25">
      <c r="A33" t="s">
        <v>82</v>
      </c>
      <c r="B33" t="s">
        <v>237</v>
      </c>
      <c r="C33" t="s">
        <v>719</v>
      </c>
      <c r="D33" t="s">
        <v>720</v>
      </c>
      <c r="E33" t="s">
        <v>20</v>
      </c>
      <c r="F33">
        <v>48.598999999999897</v>
      </c>
      <c r="G33" t="s">
        <v>21</v>
      </c>
      <c r="H33">
        <v>1.7</v>
      </c>
      <c r="I33">
        <v>0</v>
      </c>
      <c r="J33">
        <v>0.02</v>
      </c>
      <c r="K33">
        <v>0.97</v>
      </c>
      <c r="L33">
        <v>82.62</v>
      </c>
      <c r="M33">
        <v>1.82</v>
      </c>
      <c r="N33">
        <v>88.45</v>
      </c>
      <c r="O33" t="s">
        <v>802</v>
      </c>
      <c r="P33">
        <v>412696</v>
      </c>
    </row>
    <row r="34" spans="1:16" x14ac:dyDescent="0.25">
      <c r="A34" t="s">
        <v>82</v>
      </c>
      <c r="B34" t="s">
        <v>363</v>
      </c>
      <c r="C34" t="s">
        <v>753</v>
      </c>
      <c r="D34" t="s">
        <v>754</v>
      </c>
      <c r="E34" t="s">
        <v>257</v>
      </c>
      <c r="F34">
        <v>11.061</v>
      </c>
      <c r="G34" t="s">
        <v>21</v>
      </c>
      <c r="H34">
        <v>1.32</v>
      </c>
      <c r="I34">
        <v>0</v>
      </c>
      <c r="J34">
        <v>0</v>
      </c>
      <c r="L34">
        <v>14.6</v>
      </c>
      <c r="M34">
        <v>1.32</v>
      </c>
      <c r="N34">
        <v>14.6</v>
      </c>
      <c r="O34" t="s">
        <v>803</v>
      </c>
      <c r="P34">
        <v>0</v>
      </c>
    </row>
    <row r="35" spans="1:16" x14ac:dyDescent="0.25">
      <c r="A35" t="s">
        <v>82</v>
      </c>
      <c r="B35" t="s">
        <v>790</v>
      </c>
      <c r="C35" t="s">
        <v>710</v>
      </c>
      <c r="D35" t="s">
        <v>711</v>
      </c>
      <c r="E35" t="s">
        <v>20</v>
      </c>
      <c r="F35">
        <v>35.005000000000003</v>
      </c>
      <c r="G35" t="s">
        <v>21</v>
      </c>
      <c r="H35">
        <v>1.7</v>
      </c>
      <c r="I35">
        <v>0</v>
      </c>
      <c r="J35">
        <v>0.02</v>
      </c>
      <c r="K35">
        <v>0.7</v>
      </c>
      <c r="L35">
        <v>59.51</v>
      </c>
      <c r="M35">
        <v>1.82</v>
      </c>
      <c r="N35">
        <v>63.71</v>
      </c>
      <c r="O35" t="s">
        <v>804</v>
      </c>
      <c r="P35">
        <v>0</v>
      </c>
    </row>
    <row r="36" spans="1:16" x14ac:dyDescent="0.25">
      <c r="A36" t="s">
        <v>82</v>
      </c>
      <c r="B36" t="s">
        <v>217</v>
      </c>
      <c r="C36" t="s">
        <v>791</v>
      </c>
      <c r="D36" t="s">
        <v>792</v>
      </c>
      <c r="E36" t="s">
        <v>20</v>
      </c>
      <c r="F36">
        <v>44.148000000000003</v>
      </c>
      <c r="G36" t="s">
        <v>21</v>
      </c>
      <c r="H36">
        <v>1.7</v>
      </c>
      <c r="I36">
        <v>0</v>
      </c>
      <c r="J36">
        <v>0.02</v>
      </c>
      <c r="K36">
        <v>0.88</v>
      </c>
      <c r="L36">
        <v>75.05</v>
      </c>
      <c r="M36">
        <v>1.82</v>
      </c>
      <c r="N36">
        <v>80.349999999999994</v>
      </c>
      <c r="O36" t="s">
        <v>805</v>
      </c>
      <c r="P36">
        <v>0</v>
      </c>
    </row>
    <row r="37" spans="1:16" x14ac:dyDescent="0.25">
      <c r="A37" t="s">
        <v>83</v>
      </c>
      <c r="B37" t="s">
        <v>806</v>
      </c>
      <c r="C37" t="s">
        <v>807</v>
      </c>
      <c r="D37" t="s">
        <v>808</v>
      </c>
      <c r="E37" t="s">
        <v>20</v>
      </c>
      <c r="F37">
        <v>83.873000000000005</v>
      </c>
      <c r="G37" t="s">
        <v>21</v>
      </c>
      <c r="H37">
        <v>1.69</v>
      </c>
      <c r="I37">
        <v>0</v>
      </c>
      <c r="J37">
        <v>0.02</v>
      </c>
      <c r="K37">
        <v>1.68</v>
      </c>
      <c r="L37">
        <v>141.75</v>
      </c>
      <c r="M37">
        <v>1.81</v>
      </c>
      <c r="N37">
        <v>151.81</v>
      </c>
      <c r="O37" t="s">
        <v>483</v>
      </c>
      <c r="P37">
        <v>0</v>
      </c>
    </row>
    <row r="38" spans="1:16" x14ac:dyDescent="0.25">
      <c r="A38" t="s">
        <v>16</v>
      </c>
      <c r="B38" t="s">
        <v>431</v>
      </c>
      <c r="C38" t="s">
        <v>736</v>
      </c>
      <c r="D38" t="s">
        <v>737</v>
      </c>
      <c r="E38" t="s">
        <v>20</v>
      </c>
      <c r="F38">
        <v>36.89</v>
      </c>
      <c r="G38" t="s">
        <v>21</v>
      </c>
      <c r="H38">
        <v>1.69</v>
      </c>
      <c r="I38">
        <v>0</v>
      </c>
      <c r="J38">
        <v>0.02</v>
      </c>
      <c r="K38">
        <v>0.74</v>
      </c>
      <c r="L38">
        <v>62.34</v>
      </c>
      <c r="M38">
        <v>1.81</v>
      </c>
      <c r="N38">
        <v>66.77</v>
      </c>
      <c r="O38" t="s">
        <v>508</v>
      </c>
      <c r="P38">
        <v>0</v>
      </c>
    </row>
    <row r="39" spans="1:16" x14ac:dyDescent="0.25">
      <c r="A39" t="s">
        <v>16</v>
      </c>
      <c r="B39" t="s">
        <v>242</v>
      </c>
      <c r="C39" t="s">
        <v>729</v>
      </c>
      <c r="D39" t="s">
        <v>730</v>
      </c>
      <c r="E39" t="s">
        <v>20</v>
      </c>
      <c r="F39">
        <v>44.939</v>
      </c>
      <c r="G39" t="s">
        <v>21</v>
      </c>
      <c r="H39">
        <v>1.69</v>
      </c>
      <c r="I39">
        <v>0</v>
      </c>
      <c r="J39">
        <v>0.02</v>
      </c>
      <c r="K39">
        <v>0.9</v>
      </c>
      <c r="L39">
        <v>75.95</v>
      </c>
      <c r="M39">
        <v>1.81</v>
      </c>
      <c r="N39">
        <v>81.34</v>
      </c>
      <c r="O39" t="s">
        <v>260</v>
      </c>
      <c r="P39">
        <v>47057</v>
      </c>
    </row>
    <row r="40" spans="1:16" x14ac:dyDescent="0.25">
      <c r="A40" t="s">
        <v>16</v>
      </c>
      <c r="B40" t="s">
        <v>217</v>
      </c>
      <c r="C40" t="s">
        <v>758</v>
      </c>
      <c r="D40" t="s">
        <v>759</v>
      </c>
      <c r="E40" t="s">
        <v>20</v>
      </c>
      <c r="F40">
        <v>37.281999999999897</v>
      </c>
      <c r="G40" t="s">
        <v>21</v>
      </c>
      <c r="H40">
        <v>1.69</v>
      </c>
      <c r="I40">
        <v>0</v>
      </c>
      <c r="J40">
        <v>0.02</v>
      </c>
      <c r="K40">
        <v>0.75</v>
      </c>
      <c r="L40">
        <v>63.01</v>
      </c>
      <c r="M40">
        <v>1.81</v>
      </c>
      <c r="N40">
        <v>67.48</v>
      </c>
      <c r="O40" t="s">
        <v>809</v>
      </c>
      <c r="P40">
        <v>335941</v>
      </c>
    </row>
    <row r="41" spans="1:16" x14ac:dyDescent="0.25">
      <c r="A41" t="s">
        <v>86</v>
      </c>
      <c r="B41" t="s">
        <v>608</v>
      </c>
      <c r="C41" t="s">
        <v>715</v>
      </c>
      <c r="D41" t="s">
        <v>716</v>
      </c>
      <c r="E41" t="s">
        <v>20</v>
      </c>
      <c r="F41">
        <v>33.149000000000001</v>
      </c>
      <c r="G41" t="s">
        <v>21</v>
      </c>
      <c r="H41">
        <v>1.69</v>
      </c>
      <c r="I41">
        <v>0</v>
      </c>
      <c r="J41">
        <v>0.02</v>
      </c>
      <c r="K41">
        <v>0.66</v>
      </c>
      <c r="L41">
        <v>56.02</v>
      </c>
      <c r="M41">
        <v>1.81</v>
      </c>
      <c r="N41">
        <v>60</v>
      </c>
      <c r="O41" t="s">
        <v>810</v>
      </c>
      <c r="P41">
        <v>170859</v>
      </c>
    </row>
    <row r="42" spans="1:16" x14ac:dyDescent="0.25">
      <c r="A42" t="s">
        <v>86</v>
      </c>
      <c r="B42" t="s">
        <v>721</v>
      </c>
      <c r="C42" t="s">
        <v>767</v>
      </c>
      <c r="D42" t="s">
        <v>768</v>
      </c>
      <c r="E42" t="s">
        <v>20</v>
      </c>
      <c r="F42">
        <v>37.192999999999898</v>
      </c>
      <c r="G42" t="s">
        <v>21</v>
      </c>
      <c r="H42">
        <v>1.69</v>
      </c>
      <c r="I42">
        <v>0</v>
      </c>
      <c r="J42">
        <v>0.02</v>
      </c>
      <c r="K42">
        <v>0.74</v>
      </c>
      <c r="L42">
        <v>62.86</v>
      </c>
      <c r="M42">
        <v>1.81</v>
      </c>
      <c r="N42">
        <v>67.319999999999993</v>
      </c>
      <c r="O42" t="s">
        <v>811</v>
      </c>
      <c r="P42">
        <v>229267</v>
      </c>
    </row>
    <row r="43" spans="1:16" x14ac:dyDescent="0.25">
      <c r="A43" t="s">
        <v>86</v>
      </c>
      <c r="B43" t="s">
        <v>721</v>
      </c>
      <c r="C43" t="s">
        <v>722</v>
      </c>
      <c r="D43" t="s">
        <v>723</v>
      </c>
      <c r="E43" t="s">
        <v>30</v>
      </c>
      <c r="F43">
        <v>9.6289999999999907</v>
      </c>
      <c r="G43" t="s">
        <v>21</v>
      </c>
      <c r="H43">
        <v>1.42</v>
      </c>
      <c r="I43">
        <v>0</v>
      </c>
      <c r="J43">
        <v>0.03</v>
      </c>
      <c r="K43">
        <v>0.28999999999999998</v>
      </c>
      <c r="L43">
        <v>13.67</v>
      </c>
      <c r="M43">
        <v>1.51</v>
      </c>
      <c r="N43">
        <v>14.54</v>
      </c>
      <c r="O43" t="s">
        <v>342</v>
      </c>
      <c r="P43">
        <v>0</v>
      </c>
    </row>
    <row r="44" spans="1:16" x14ac:dyDescent="0.25">
      <c r="A44" t="s">
        <v>86</v>
      </c>
      <c r="B44" t="s">
        <v>496</v>
      </c>
      <c r="C44" t="s">
        <v>741</v>
      </c>
      <c r="D44" t="s">
        <v>742</v>
      </c>
      <c r="E44" t="s">
        <v>20</v>
      </c>
      <c r="F44">
        <v>38</v>
      </c>
      <c r="G44" t="s">
        <v>21</v>
      </c>
      <c r="H44">
        <v>1.69</v>
      </c>
      <c r="I44">
        <v>0</v>
      </c>
      <c r="J44">
        <v>0.02</v>
      </c>
      <c r="K44">
        <v>0.76</v>
      </c>
      <c r="L44">
        <v>64.22</v>
      </c>
      <c r="M44">
        <v>1.81</v>
      </c>
      <c r="N44">
        <v>68.78</v>
      </c>
      <c r="O44" t="s">
        <v>812</v>
      </c>
      <c r="P44">
        <v>0</v>
      </c>
    </row>
    <row r="45" spans="1:16" x14ac:dyDescent="0.25">
      <c r="A45" t="s">
        <v>86</v>
      </c>
      <c r="B45" t="s">
        <v>363</v>
      </c>
      <c r="C45" t="s">
        <v>743</v>
      </c>
      <c r="D45" t="s">
        <v>744</v>
      </c>
      <c r="E45" t="s">
        <v>20</v>
      </c>
      <c r="F45">
        <v>42.098999999999897</v>
      </c>
      <c r="G45" t="s">
        <v>21</v>
      </c>
      <c r="H45">
        <v>1.69</v>
      </c>
      <c r="I45">
        <v>0</v>
      </c>
      <c r="J45">
        <v>0.02</v>
      </c>
      <c r="K45">
        <v>0.84</v>
      </c>
      <c r="L45">
        <v>71.150000000000006</v>
      </c>
      <c r="M45">
        <v>1.81</v>
      </c>
      <c r="N45">
        <v>76.2</v>
      </c>
      <c r="O45" t="s">
        <v>813</v>
      </c>
      <c r="P45">
        <v>0</v>
      </c>
    </row>
    <row r="46" spans="1:16" x14ac:dyDescent="0.25">
      <c r="A46" t="s">
        <v>86</v>
      </c>
      <c r="B46" t="s">
        <v>177</v>
      </c>
      <c r="C46" t="s">
        <v>791</v>
      </c>
      <c r="D46" t="s">
        <v>792</v>
      </c>
      <c r="E46" t="s">
        <v>20</v>
      </c>
      <c r="F46">
        <v>22.42</v>
      </c>
      <c r="G46" t="s">
        <v>21</v>
      </c>
      <c r="H46">
        <v>1.69</v>
      </c>
      <c r="I46">
        <v>0</v>
      </c>
      <c r="J46">
        <v>0.02</v>
      </c>
      <c r="K46">
        <v>0.45</v>
      </c>
      <c r="L46">
        <v>37.89</v>
      </c>
      <c r="M46">
        <v>1.81</v>
      </c>
      <c r="N46">
        <v>40.58</v>
      </c>
      <c r="O46" t="s">
        <v>783</v>
      </c>
      <c r="P46">
        <v>0</v>
      </c>
    </row>
    <row r="47" spans="1:16" x14ac:dyDescent="0.25">
      <c r="A47" t="s">
        <v>86</v>
      </c>
      <c r="B47" t="s">
        <v>52</v>
      </c>
      <c r="C47" t="s">
        <v>765</v>
      </c>
      <c r="D47" t="s">
        <v>766</v>
      </c>
      <c r="E47" t="s">
        <v>20</v>
      </c>
      <c r="F47">
        <v>41.308999999999898</v>
      </c>
      <c r="G47" t="s">
        <v>21</v>
      </c>
      <c r="H47">
        <v>1.69</v>
      </c>
      <c r="I47">
        <v>0</v>
      </c>
      <c r="J47">
        <v>0.02</v>
      </c>
      <c r="K47">
        <v>0.83</v>
      </c>
      <c r="L47">
        <v>69.81</v>
      </c>
      <c r="M47">
        <v>1.81</v>
      </c>
      <c r="N47">
        <v>74.77</v>
      </c>
      <c r="O47" t="s">
        <v>814</v>
      </c>
      <c r="P47">
        <v>157774</v>
      </c>
    </row>
    <row r="48" spans="1:16" x14ac:dyDescent="0.25">
      <c r="A48" t="s">
        <v>151</v>
      </c>
      <c r="B48" t="s">
        <v>258</v>
      </c>
      <c r="C48" t="s">
        <v>733</v>
      </c>
      <c r="D48" t="s">
        <v>734</v>
      </c>
      <c r="E48" t="s">
        <v>20</v>
      </c>
      <c r="F48">
        <v>44</v>
      </c>
      <c r="G48" t="s">
        <v>21</v>
      </c>
      <c r="H48">
        <v>1.67</v>
      </c>
      <c r="I48">
        <v>0</v>
      </c>
      <c r="J48">
        <v>0.02</v>
      </c>
      <c r="K48">
        <v>0.88</v>
      </c>
      <c r="L48">
        <v>73.48</v>
      </c>
      <c r="M48">
        <v>1.79</v>
      </c>
      <c r="N48">
        <v>78.760000000000005</v>
      </c>
      <c r="O48" t="s">
        <v>596</v>
      </c>
      <c r="P48">
        <v>0</v>
      </c>
    </row>
    <row r="49" spans="1:16" x14ac:dyDescent="0.25">
      <c r="A49" t="s">
        <v>151</v>
      </c>
      <c r="B49" t="s">
        <v>177</v>
      </c>
      <c r="C49" t="s">
        <v>743</v>
      </c>
      <c r="D49" t="s">
        <v>744</v>
      </c>
      <c r="E49" t="s">
        <v>20</v>
      </c>
      <c r="F49">
        <v>23.6</v>
      </c>
      <c r="G49" t="s">
        <v>21</v>
      </c>
      <c r="H49">
        <v>1.67</v>
      </c>
      <c r="I49">
        <v>0</v>
      </c>
      <c r="J49">
        <v>0.02</v>
      </c>
      <c r="K49">
        <v>0.47</v>
      </c>
      <c r="L49">
        <v>39.409999999999997</v>
      </c>
      <c r="M49">
        <v>1.8</v>
      </c>
      <c r="N49">
        <v>42.48</v>
      </c>
      <c r="O49" t="s">
        <v>815</v>
      </c>
      <c r="P49">
        <v>0</v>
      </c>
    </row>
    <row r="50" spans="1:16" x14ac:dyDescent="0.25">
      <c r="A50" t="s">
        <v>151</v>
      </c>
      <c r="B50" t="s">
        <v>177</v>
      </c>
      <c r="C50" t="s">
        <v>743</v>
      </c>
      <c r="D50" t="s">
        <v>744</v>
      </c>
      <c r="E50" t="s">
        <v>816</v>
      </c>
      <c r="F50">
        <v>1</v>
      </c>
      <c r="G50" t="s">
        <v>210</v>
      </c>
      <c r="H50">
        <v>1.02</v>
      </c>
      <c r="I50">
        <v>0</v>
      </c>
      <c r="J50">
        <v>0</v>
      </c>
      <c r="L50">
        <v>1.02</v>
      </c>
      <c r="M50">
        <v>1.02</v>
      </c>
      <c r="N50">
        <v>1.02</v>
      </c>
      <c r="O50" t="s">
        <v>815</v>
      </c>
      <c r="P50">
        <v>0</v>
      </c>
    </row>
    <row r="51" spans="1:16" x14ac:dyDescent="0.25">
      <c r="A51" t="s">
        <v>151</v>
      </c>
      <c r="B51" t="s">
        <v>177</v>
      </c>
      <c r="C51" t="s">
        <v>817</v>
      </c>
      <c r="D51" t="s">
        <v>818</v>
      </c>
      <c r="E51" t="s">
        <v>30</v>
      </c>
      <c r="F51">
        <v>34</v>
      </c>
      <c r="G51" t="s">
        <v>21</v>
      </c>
      <c r="H51">
        <v>1.42</v>
      </c>
      <c r="I51">
        <v>0</v>
      </c>
      <c r="J51">
        <v>0.03</v>
      </c>
      <c r="K51">
        <v>1.02</v>
      </c>
      <c r="L51">
        <v>48.28</v>
      </c>
      <c r="M51">
        <v>1.51</v>
      </c>
      <c r="N51">
        <v>51.34</v>
      </c>
      <c r="O51" t="s">
        <v>632</v>
      </c>
      <c r="P51">
        <v>0</v>
      </c>
    </row>
    <row r="52" spans="1:16" x14ac:dyDescent="0.25">
      <c r="A52" t="s">
        <v>151</v>
      </c>
      <c r="B52" t="s">
        <v>217</v>
      </c>
      <c r="C52" t="s">
        <v>791</v>
      </c>
      <c r="D52" t="s">
        <v>792</v>
      </c>
      <c r="E52" t="s">
        <v>20</v>
      </c>
      <c r="F52">
        <v>53.421999999999898</v>
      </c>
      <c r="G52" t="s">
        <v>21</v>
      </c>
      <c r="H52">
        <v>1.67</v>
      </c>
      <c r="I52">
        <v>0</v>
      </c>
      <c r="J52">
        <v>0.02</v>
      </c>
      <c r="K52">
        <v>1.07</v>
      </c>
      <c r="L52">
        <v>89.21</v>
      </c>
      <c r="M52">
        <v>1.8</v>
      </c>
      <c r="N52">
        <v>96.16</v>
      </c>
      <c r="O52" t="s">
        <v>819</v>
      </c>
      <c r="P52">
        <v>0</v>
      </c>
    </row>
    <row r="53" spans="1:16" x14ac:dyDescent="0.25">
      <c r="A53" t="s">
        <v>151</v>
      </c>
      <c r="B53" t="s">
        <v>775</v>
      </c>
      <c r="C53" t="s">
        <v>725</v>
      </c>
      <c r="D53" t="s">
        <v>726</v>
      </c>
      <c r="E53" t="s">
        <v>20</v>
      </c>
      <c r="F53">
        <v>45.899999999999899</v>
      </c>
      <c r="G53" t="s">
        <v>21</v>
      </c>
      <c r="H53">
        <v>1.67</v>
      </c>
      <c r="I53">
        <v>0</v>
      </c>
      <c r="J53">
        <v>0.02</v>
      </c>
      <c r="K53">
        <v>0.92</v>
      </c>
      <c r="L53">
        <v>76.650000000000006</v>
      </c>
      <c r="M53">
        <v>1.8</v>
      </c>
      <c r="N53">
        <v>82.62</v>
      </c>
      <c r="O53" t="s">
        <v>582</v>
      </c>
      <c r="P53">
        <v>139047</v>
      </c>
    </row>
    <row r="54" spans="1:16" x14ac:dyDescent="0.25">
      <c r="A54" t="s">
        <v>23</v>
      </c>
      <c r="B54" t="s">
        <v>237</v>
      </c>
      <c r="C54" t="s">
        <v>731</v>
      </c>
      <c r="D54" t="s">
        <v>732</v>
      </c>
      <c r="E54" t="s">
        <v>20</v>
      </c>
      <c r="F54">
        <v>46</v>
      </c>
      <c r="G54" t="s">
        <v>21</v>
      </c>
      <c r="H54">
        <v>1.67</v>
      </c>
      <c r="I54">
        <v>0</v>
      </c>
      <c r="J54">
        <v>0.02</v>
      </c>
      <c r="K54">
        <v>0.92</v>
      </c>
      <c r="L54">
        <v>76.819999999999993</v>
      </c>
      <c r="M54">
        <v>1.8</v>
      </c>
      <c r="N54">
        <v>82.8</v>
      </c>
      <c r="O54" t="s">
        <v>755</v>
      </c>
      <c r="P54">
        <v>462357</v>
      </c>
    </row>
    <row r="55" spans="1:16" x14ac:dyDescent="0.25">
      <c r="A55" t="s">
        <v>23</v>
      </c>
      <c r="B55" t="s">
        <v>258</v>
      </c>
      <c r="C55" t="s">
        <v>733</v>
      </c>
      <c r="D55" t="s">
        <v>734</v>
      </c>
      <c r="E55" t="s">
        <v>20</v>
      </c>
      <c r="F55">
        <v>11</v>
      </c>
      <c r="G55" t="s">
        <v>21</v>
      </c>
      <c r="H55">
        <v>1.67</v>
      </c>
      <c r="I55">
        <v>0</v>
      </c>
      <c r="J55">
        <v>0.02</v>
      </c>
      <c r="K55">
        <v>0.22</v>
      </c>
      <c r="L55">
        <v>18.37</v>
      </c>
      <c r="M55">
        <v>1.79</v>
      </c>
      <c r="N55">
        <v>19.690000000000001</v>
      </c>
      <c r="O55" t="s">
        <v>820</v>
      </c>
      <c r="P55">
        <v>0</v>
      </c>
    </row>
    <row r="56" spans="1:16" x14ac:dyDescent="0.25">
      <c r="A56" t="s">
        <v>23</v>
      </c>
      <c r="B56" t="s">
        <v>47</v>
      </c>
      <c r="C56" t="s">
        <v>767</v>
      </c>
      <c r="D56" t="s">
        <v>768</v>
      </c>
      <c r="E56" t="s">
        <v>20</v>
      </c>
      <c r="F56">
        <v>26.628</v>
      </c>
      <c r="G56" t="s">
        <v>21</v>
      </c>
      <c r="H56">
        <v>1.67</v>
      </c>
      <c r="I56">
        <v>0</v>
      </c>
      <c r="J56">
        <v>0.02</v>
      </c>
      <c r="K56">
        <v>0.53</v>
      </c>
      <c r="L56">
        <v>44.47</v>
      </c>
      <c r="M56">
        <v>1.8</v>
      </c>
      <c r="N56">
        <v>47.93</v>
      </c>
      <c r="O56" t="s">
        <v>596</v>
      </c>
      <c r="P56">
        <v>229845</v>
      </c>
    </row>
    <row r="57" spans="1:16" x14ac:dyDescent="0.25">
      <c r="A57" t="s">
        <v>23</v>
      </c>
      <c r="B57" t="s">
        <v>316</v>
      </c>
      <c r="C57" t="s">
        <v>762</v>
      </c>
      <c r="D57" t="s">
        <v>763</v>
      </c>
      <c r="E57" t="s">
        <v>20</v>
      </c>
      <c r="F57">
        <v>28.789000000000001</v>
      </c>
      <c r="G57" t="s">
        <v>21</v>
      </c>
      <c r="H57">
        <v>1.67</v>
      </c>
      <c r="I57">
        <v>0</v>
      </c>
      <c r="J57">
        <v>0.02</v>
      </c>
      <c r="K57">
        <v>0.57999999999999996</v>
      </c>
      <c r="L57">
        <v>48.08</v>
      </c>
      <c r="M57">
        <v>1.8</v>
      </c>
      <c r="N57">
        <v>51.82</v>
      </c>
      <c r="O57" t="s">
        <v>821</v>
      </c>
      <c r="P57">
        <v>0</v>
      </c>
    </row>
    <row r="58" spans="1:16" x14ac:dyDescent="0.25">
      <c r="A58" t="s">
        <v>23</v>
      </c>
      <c r="B58" t="s">
        <v>207</v>
      </c>
      <c r="C58" t="s">
        <v>781</v>
      </c>
      <c r="D58" t="s">
        <v>782</v>
      </c>
      <c r="E58" t="s">
        <v>20</v>
      </c>
      <c r="F58">
        <v>23.8889999999999</v>
      </c>
      <c r="G58" t="s">
        <v>21</v>
      </c>
      <c r="H58">
        <v>1.67</v>
      </c>
      <c r="I58">
        <v>0</v>
      </c>
      <c r="J58">
        <v>0.02</v>
      </c>
      <c r="K58">
        <v>0.48</v>
      </c>
      <c r="L58">
        <v>39.89</v>
      </c>
      <c r="M58">
        <v>1.8</v>
      </c>
      <c r="N58">
        <v>43</v>
      </c>
      <c r="O58" t="s">
        <v>822</v>
      </c>
      <c r="P58">
        <v>508177</v>
      </c>
    </row>
    <row r="59" spans="1:16" x14ac:dyDescent="0.25">
      <c r="A59" t="s">
        <v>23</v>
      </c>
      <c r="B59" t="s">
        <v>95</v>
      </c>
      <c r="C59" t="s">
        <v>739</v>
      </c>
      <c r="D59" t="s">
        <v>740</v>
      </c>
      <c r="E59" t="s">
        <v>20</v>
      </c>
      <c r="F59">
        <v>28</v>
      </c>
      <c r="G59" t="s">
        <v>21</v>
      </c>
      <c r="H59">
        <v>1.67</v>
      </c>
      <c r="I59">
        <v>0</v>
      </c>
      <c r="J59">
        <v>0.02</v>
      </c>
      <c r="K59">
        <v>0.56000000000000005</v>
      </c>
      <c r="L59">
        <v>46.76</v>
      </c>
      <c r="M59">
        <v>1.8</v>
      </c>
      <c r="N59">
        <v>50.4</v>
      </c>
      <c r="O59" t="s">
        <v>823</v>
      </c>
      <c r="P59">
        <v>286267</v>
      </c>
    </row>
    <row r="60" spans="1:16" x14ac:dyDescent="0.25">
      <c r="A60" t="s">
        <v>23</v>
      </c>
      <c r="B60" t="s">
        <v>769</v>
      </c>
      <c r="C60" t="s">
        <v>770</v>
      </c>
      <c r="D60" t="s">
        <v>771</v>
      </c>
      <c r="E60" t="s">
        <v>20</v>
      </c>
      <c r="F60">
        <v>45</v>
      </c>
      <c r="G60" t="s">
        <v>21</v>
      </c>
      <c r="H60">
        <v>1.67</v>
      </c>
      <c r="I60">
        <v>0</v>
      </c>
      <c r="J60">
        <v>0.02</v>
      </c>
      <c r="K60">
        <v>0.9</v>
      </c>
      <c r="L60">
        <v>75.150000000000006</v>
      </c>
      <c r="M60">
        <v>1.8</v>
      </c>
      <c r="N60">
        <v>81</v>
      </c>
      <c r="O60" t="s">
        <v>331</v>
      </c>
      <c r="P60">
        <v>569600</v>
      </c>
    </row>
    <row r="61" spans="1:16" x14ac:dyDescent="0.25">
      <c r="A61" t="s">
        <v>23</v>
      </c>
      <c r="B61" t="s">
        <v>749</v>
      </c>
      <c r="C61" t="s">
        <v>750</v>
      </c>
      <c r="D61" t="s">
        <v>751</v>
      </c>
      <c r="E61" t="s">
        <v>20</v>
      </c>
      <c r="F61">
        <v>32.811</v>
      </c>
      <c r="G61" t="s">
        <v>21</v>
      </c>
      <c r="H61">
        <v>1.67</v>
      </c>
      <c r="I61">
        <v>0</v>
      </c>
      <c r="J61">
        <v>0.02</v>
      </c>
      <c r="K61">
        <v>0.66</v>
      </c>
      <c r="L61">
        <v>54.79</v>
      </c>
      <c r="M61">
        <v>1.8</v>
      </c>
      <c r="N61">
        <v>59.06</v>
      </c>
      <c r="O61" t="s">
        <v>824</v>
      </c>
      <c r="P61">
        <v>0</v>
      </c>
    </row>
    <row r="62" spans="1:16" x14ac:dyDescent="0.25">
      <c r="A62" t="s">
        <v>23</v>
      </c>
      <c r="B62" t="s">
        <v>52</v>
      </c>
      <c r="C62" t="s">
        <v>765</v>
      </c>
      <c r="D62" t="s">
        <v>766</v>
      </c>
      <c r="E62" t="s">
        <v>20</v>
      </c>
      <c r="F62">
        <v>30.8889999999999</v>
      </c>
      <c r="G62" t="s">
        <v>21</v>
      </c>
      <c r="H62">
        <v>1.67</v>
      </c>
      <c r="I62">
        <v>0</v>
      </c>
      <c r="J62">
        <v>0.02</v>
      </c>
      <c r="K62">
        <v>0.62</v>
      </c>
      <c r="L62">
        <v>51.58</v>
      </c>
      <c r="M62">
        <v>1.8</v>
      </c>
      <c r="N62">
        <v>55.6</v>
      </c>
      <c r="O62" t="s">
        <v>171</v>
      </c>
      <c r="P62">
        <v>158417</v>
      </c>
    </row>
    <row r="63" spans="1:16" x14ac:dyDescent="0.25">
      <c r="A63" t="s">
        <v>23</v>
      </c>
      <c r="B63" t="s">
        <v>285</v>
      </c>
      <c r="C63" t="s">
        <v>778</v>
      </c>
      <c r="D63" t="s">
        <v>779</v>
      </c>
      <c r="E63" t="s">
        <v>20</v>
      </c>
      <c r="F63">
        <v>41.728000000000002</v>
      </c>
      <c r="G63" t="s">
        <v>21</v>
      </c>
      <c r="H63">
        <v>1.67</v>
      </c>
      <c r="I63">
        <v>0</v>
      </c>
      <c r="J63">
        <v>0.02</v>
      </c>
      <c r="K63">
        <v>0.83</v>
      </c>
      <c r="L63">
        <v>69.69</v>
      </c>
      <c r="M63">
        <v>1.8</v>
      </c>
      <c r="N63">
        <v>75.11</v>
      </c>
      <c r="O63" t="s">
        <v>752</v>
      </c>
      <c r="P63">
        <v>387408</v>
      </c>
    </row>
    <row r="68" spans="6:12" x14ac:dyDescent="0.25">
      <c r="F68">
        <f>SUM(F2:F67)</f>
        <v>2291.5299999999997</v>
      </c>
      <c r="L68">
        <f>SUM(L2:L67)</f>
        <v>3907.8400000000006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P18"/>
  <sheetViews>
    <sheetView workbookViewId="0">
      <selection activeCell="D32" sqref="D32"/>
    </sheetView>
  </sheetViews>
  <sheetFormatPr defaultRowHeight="15" x14ac:dyDescent="0.25"/>
  <cols>
    <col min="1" max="1" width="10.42578125" bestFit="1" customWidth="1"/>
    <col min="2" max="2" width="32.42578125" bestFit="1" customWidth="1"/>
    <col min="3" max="3" width="9.7109375" bestFit="1" customWidth="1"/>
    <col min="4" max="4" width="18.28515625" bestFit="1" customWidth="1"/>
    <col min="5" max="5" width="22.8554687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</v>
      </c>
      <c r="B2" t="s">
        <v>300</v>
      </c>
      <c r="C2" t="s">
        <v>825</v>
      </c>
      <c r="D2" t="s">
        <v>826</v>
      </c>
      <c r="E2" t="s">
        <v>20</v>
      </c>
      <c r="F2">
        <v>35.470999999999897</v>
      </c>
      <c r="G2" t="s">
        <v>21</v>
      </c>
      <c r="H2">
        <v>1.65</v>
      </c>
      <c r="I2">
        <v>0</v>
      </c>
      <c r="J2">
        <v>0</v>
      </c>
      <c r="K2">
        <v>0.11</v>
      </c>
      <c r="L2">
        <v>58.53</v>
      </c>
      <c r="M2">
        <v>1.72</v>
      </c>
      <c r="N2">
        <v>61.01</v>
      </c>
      <c r="O2" t="s">
        <v>827</v>
      </c>
      <c r="P2">
        <v>0</v>
      </c>
    </row>
    <row r="3" spans="1:16" x14ac:dyDescent="0.25">
      <c r="A3" t="s">
        <v>58</v>
      </c>
      <c r="B3" t="s">
        <v>277</v>
      </c>
      <c r="C3" t="s">
        <v>828</v>
      </c>
      <c r="D3" t="s">
        <v>829</v>
      </c>
      <c r="E3" t="s">
        <v>30</v>
      </c>
      <c r="F3">
        <v>30.503</v>
      </c>
      <c r="G3" t="s">
        <v>21</v>
      </c>
      <c r="H3">
        <v>1.43</v>
      </c>
      <c r="I3">
        <v>0</v>
      </c>
      <c r="J3">
        <v>0.03</v>
      </c>
      <c r="K3">
        <v>0.92</v>
      </c>
      <c r="L3">
        <v>43.62</v>
      </c>
      <c r="M3">
        <v>1.51</v>
      </c>
      <c r="N3">
        <v>46.06</v>
      </c>
      <c r="O3" t="s">
        <v>69</v>
      </c>
      <c r="P3">
        <v>0</v>
      </c>
    </row>
    <row r="4" spans="1:16" x14ac:dyDescent="0.25">
      <c r="A4" t="s">
        <v>111</v>
      </c>
      <c r="B4" t="s">
        <v>277</v>
      </c>
      <c r="C4" t="s">
        <v>830</v>
      </c>
      <c r="D4" t="s">
        <v>831</v>
      </c>
      <c r="E4" t="s">
        <v>20</v>
      </c>
      <c r="F4">
        <v>11.2989999999999</v>
      </c>
      <c r="G4" t="s">
        <v>21</v>
      </c>
      <c r="H4">
        <v>1.73</v>
      </c>
      <c r="I4">
        <v>0</v>
      </c>
      <c r="J4">
        <v>0.01</v>
      </c>
      <c r="K4">
        <v>0.11</v>
      </c>
      <c r="L4">
        <v>19.55</v>
      </c>
      <c r="M4">
        <v>1.77</v>
      </c>
      <c r="N4">
        <v>20</v>
      </c>
      <c r="O4" t="s">
        <v>745</v>
      </c>
      <c r="P4">
        <v>0</v>
      </c>
    </row>
    <row r="5" spans="1:16" x14ac:dyDescent="0.25">
      <c r="A5" t="s">
        <v>66</v>
      </c>
      <c r="B5" t="s">
        <v>300</v>
      </c>
      <c r="C5" t="s">
        <v>825</v>
      </c>
      <c r="D5" t="s">
        <v>826</v>
      </c>
      <c r="E5" t="s">
        <v>20</v>
      </c>
      <c r="F5">
        <v>41.469000000000001</v>
      </c>
      <c r="G5" t="s">
        <v>21</v>
      </c>
      <c r="H5">
        <v>1.73</v>
      </c>
      <c r="I5">
        <v>0</v>
      </c>
      <c r="J5">
        <v>0.02</v>
      </c>
      <c r="K5">
        <v>0.83</v>
      </c>
      <c r="L5">
        <v>71.739999999999995</v>
      </c>
      <c r="M5">
        <v>1.77</v>
      </c>
      <c r="N5">
        <v>73.400000000000006</v>
      </c>
      <c r="O5" t="s">
        <v>832</v>
      </c>
      <c r="P5">
        <v>0</v>
      </c>
    </row>
    <row r="6" spans="1:16" x14ac:dyDescent="0.25">
      <c r="A6" t="s">
        <v>134</v>
      </c>
      <c r="B6" t="s">
        <v>309</v>
      </c>
      <c r="C6" t="s">
        <v>825</v>
      </c>
      <c r="D6" t="s">
        <v>826</v>
      </c>
      <c r="E6" t="s">
        <v>20</v>
      </c>
      <c r="F6">
        <v>21.928000000000001</v>
      </c>
      <c r="G6" t="s">
        <v>21</v>
      </c>
      <c r="H6">
        <v>1.73</v>
      </c>
      <c r="I6">
        <v>0</v>
      </c>
      <c r="J6">
        <v>0.02</v>
      </c>
      <c r="K6">
        <v>0.44</v>
      </c>
      <c r="L6">
        <v>37.94</v>
      </c>
      <c r="M6">
        <v>1.8</v>
      </c>
      <c r="N6">
        <v>39.47</v>
      </c>
      <c r="O6" t="s">
        <v>833</v>
      </c>
      <c r="P6">
        <v>0</v>
      </c>
    </row>
    <row r="7" spans="1:16" x14ac:dyDescent="0.25">
      <c r="A7" t="s">
        <v>158</v>
      </c>
      <c r="B7" t="s">
        <v>277</v>
      </c>
      <c r="C7" t="s">
        <v>830</v>
      </c>
      <c r="D7" t="s">
        <v>831</v>
      </c>
      <c r="E7" t="s">
        <v>20</v>
      </c>
      <c r="F7">
        <v>55.561</v>
      </c>
      <c r="G7" t="s">
        <v>21</v>
      </c>
      <c r="H7">
        <v>1.76</v>
      </c>
      <c r="I7">
        <v>0</v>
      </c>
      <c r="J7">
        <v>0.02</v>
      </c>
      <c r="K7">
        <v>1.1100000000000001</v>
      </c>
      <c r="L7">
        <v>97.79</v>
      </c>
      <c r="M7">
        <v>1.8</v>
      </c>
      <c r="N7">
        <v>100.01</v>
      </c>
      <c r="O7" t="s">
        <v>228</v>
      </c>
      <c r="P7">
        <v>0</v>
      </c>
    </row>
    <row r="8" spans="1:16" x14ac:dyDescent="0.25">
      <c r="A8" t="s">
        <v>136</v>
      </c>
      <c r="B8" t="s">
        <v>309</v>
      </c>
      <c r="C8" t="s">
        <v>834</v>
      </c>
      <c r="D8" t="s">
        <v>835</v>
      </c>
      <c r="E8" t="s">
        <v>20</v>
      </c>
      <c r="F8">
        <v>72</v>
      </c>
      <c r="G8" t="s">
        <v>21</v>
      </c>
      <c r="H8">
        <v>1.76</v>
      </c>
      <c r="I8">
        <v>0</v>
      </c>
      <c r="J8">
        <v>0.02</v>
      </c>
      <c r="K8">
        <v>1.44</v>
      </c>
      <c r="L8">
        <v>126.72</v>
      </c>
      <c r="M8">
        <v>1.8</v>
      </c>
      <c r="N8">
        <v>129.6</v>
      </c>
      <c r="O8" t="s">
        <v>364</v>
      </c>
      <c r="P8">
        <v>0</v>
      </c>
    </row>
    <row r="9" spans="1:16" x14ac:dyDescent="0.25">
      <c r="A9" t="s">
        <v>114</v>
      </c>
      <c r="B9" t="s">
        <v>277</v>
      </c>
      <c r="C9" t="s">
        <v>836</v>
      </c>
      <c r="D9" t="s">
        <v>837</v>
      </c>
      <c r="E9" t="s">
        <v>20</v>
      </c>
      <c r="F9">
        <v>15.481</v>
      </c>
      <c r="G9" t="s">
        <v>21</v>
      </c>
      <c r="H9">
        <v>1.76</v>
      </c>
      <c r="I9">
        <v>0</v>
      </c>
      <c r="J9">
        <v>0.02</v>
      </c>
      <c r="K9">
        <v>0.31</v>
      </c>
      <c r="L9">
        <v>27.25</v>
      </c>
      <c r="M9">
        <v>1.81</v>
      </c>
      <c r="N9">
        <v>28.02</v>
      </c>
      <c r="O9" t="s">
        <v>838</v>
      </c>
      <c r="P9">
        <v>0</v>
      </c>
    </row>
    <row r="10" spans="1:16" x14ac:dyDescent="0.25">
      <c r="A10" t="s">
        <v>141</v>
      </c>
      <c r="B10" t="s">
        <v>839</v>
      </c>
      <c r="C10" t="s">
        <v>840</v>
      </c>
      <c r="D10" t="s">
        <v>841</v>
      </c>
      <c r="E10" t="s">
        <v>20</v>
      </c>
      <c r="F10">
        <v>36.939</v>
      </c>
      <c r="G10" t="s">
        <v>21</v>
      </c>
      <c r="H10">
        <v>1.75</v>
      </c>
      <c r="I10">
        <v>0</v>
      </c>
      <c r="J10">
        <v>0.02</v>
      </c>
      <c r="K10">
        <v>0.74</v>
      </c>
      <c r="L10">
        <v>64.64</v>
      </c>
      <c r="M10">
        <v>1.81</v>
      </c>
      <c r="N10">
        <v>66.86</v>
      </c>
      <c r="O10" t="s">
        <v>842</v>
      </c>
      <c r="P10">
        <v>0</v>
      </c>
    </row>
    <row r="11" spans="1:16" x14ac:dyDescent="0.25">
      <c r="A11" t="s">
        <v>145</v>
      </c>
      <c r="B11" t="s">
        <v>309</v>
      </c>
      <c r="C11" t="s">
        <v>825</v>
      </c>
      <c r="D11" t="s">
        <v>826</v>
      </c>
      <c r="E11" t="s">
        <v>20</v>
      </c>
      <c r="F11">
        <v>22.867999999999899</v>
      </c>
      <c r="G11" t="s">
        <v>21</v>
      </c>
      <c r="H11">
        <v>1.72</v>
      </c>
      <c r="I11">
        <v>0</v>
      </c>
      <c r="J11">
        <v>0.02</v>
      </c>
      <c r="K11">
        <v>0.46</v>
      </c>
      <c r="L11">
        <v>39.33</v>
      </c>
      <c r="M11">
        <v>1.82</v>
      </c>
      <c r="N11">
        <v>41.62</v>
      </c>
      <c r="O11" t="s">
        <v>238</v>
      </c>
      <c r="P11">
        <v>0</v>
      </c>
    </row>
    <row r="12" spans="1:16" x14ac:dyDescent="0.25">
      <c r="A12" t="s">
        <v>83</v>
      </c>
      <c r="B12" t="s">
        <v>277</v>
      </c>
      <c r="C12" t="s">
        <v>840</v>
      </c>
      <c r="D12" t="s">
        <v>841</v>
      </c>
      <c r="E12" t="s">
        <v>20</v>
      </c>
      <c r="F12">
        <v>10.9499999999999</v>
      </c>
      <c r="G12" t="s">
        <v>21</v>
      </c>
      <c r="H12">
        <v>1.7</v>
      </c>
      <c r="I12">
        <v>0</v>
      </c>
      <c r="J12">
        <v>0.03</v>
      </c>
      <c r="K12">
        <v>0.33</v>
      </c>
      <c r="L12">
        <v>18.61</v>
      </c>
      <c r="M12">
        <v>1.81</v>
      </c>
      <c r="N12">
        <v>19.82</v>
      </c>
      <c r="O12" t="s">
        <v>452</v>
      </c>
      <c r="P12">
        <v>0</v>
      </c>
    </row>
    <row r="13" spans="1:16" x14ac:dyDescent="0.25">
      <c r="A13" t="s">
        <v>371</v>
      </c>
      <c r="B13" t="s">
        <v>309</v>
      </c>
      <c r="C13" t="s">
        <v>825</v>
      </c>
      <c r="D13" t="s">
        <v>826</v>
      </c>
      <c r="E13" t="s">
        <v>20</v>
      </c>
      <c r="F13">
        <v>16.5689999999999</v>
      </c>
      <c r="G13" t="s">
        <v>21</v>
      </c>
      <c r="H13">
        <v>1.7</v>
      </c>
      <c r="I13">
        <v>0</v>
      </c>
      <c r="J13">
        <v>0.03</v>
      </c>
      <c r="K13">
        <v>0.5</v>
      </c>
      <c r="L13">
        <v>28.17</v>
      </c>
      <c r="M13">
        <v>1.81</v>
      </c>
      <c r="N13">
        <v>29.99</v>
      </c>
      <c r="O13" t="s">
        <v>251</v>
      </c>
      <c r="P13">
        <v>0</v>
      </c>
    </row>
    <row r="14" spans="1:16" x14ac:dyDescent="0.25">
      <c r="A14" t="s">
        <v>151</v>
      </c>
      <c r="B14" t="s">
        <v>277</v>
      </c>
      <c r="C14" t="s">
        <v>840</v>
      </c>
      <c r="D14" t="s">
        <v>841</v>
      </c>
      <c r="E14" t="s">
        <v>20</v>
      </c>
      <c r="F14">
        <v>13.0109999999999</v>
      </c>
      <c r="G14" t="s">
        <v>21</v>
      </c>
      <c r="H14">
        <v>1.68</v>
      </c>
      <c r="I14">
        <v>0</v>
      </c>
      <c r="J14">
        <v>0.03</v>
      </c>
      <c r="K14">
        <v>0.39</v>
      </c>
      <c r="L14">
        <v>21.86</v>
      </c>
      <c r="M14">
        <v>1.8</v>
      </c>
      <c r="N14">
        <v>23.42</v>
      </c>
      <c r="O14" t="s">
        <v>843</v>
      </c>
      <c r="P14">
        <v>0</v>
      </c>
    </row>
    <row r="18" spans="6:12" x14ac:dyDescent="0.25">
      <c r="F18">
        <f>SUM(F2:F17)</f>
        <v>384.04899999999935</v>
      </c>
      <c r="L18">
        <f>SUM(L2:L17)</f>
        <v>655.75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P28"/>
  <sheetViews>
    <sheetView workbookViewId="0">
      <selection activeCell="D33" sqref="D33"/>
    </sheetView>
  </sheetViews>
  <sheetFormatPr defaultRowHeight="15" x14ac:dyDescent="0.25"/>
  <cols>
    <col min="1" max="1" width="10.42578125" bestFit="1" customWidth="1"/>
    <col min="2" max="2" width="25.7109375" bestFit="1" customWidth="1"/>
    <col min="3" max="3" width="13.85546875" bestFit="1" customWidth="1"/>
    <col min="4" max="4" width="18.28515625" bestFit="1" customWidth="1"/>
    <col min="5" max="5" width="22.85546875" bestFit="1" customWidth="1"/>
    <col min="6" max="6" width="9.85546875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82</v>
      </c>
      <c r="B2" t="s">
        <v>496</v>
      </c>
      <c r="C2" t="s">
        <v>844</v>
      </c>
      <c r="D2" t="s">
        <v>845</v>
      </c>
      <c r="E2" t="s">
        <v>30</v>
      </c>
      <c r="F2">
        <v>41.5429999999999</v>
      </c>
      <c r="G2" t="s">
        <v>21</v>
      </c>
      <c r="H2">
        <v>1.48</v>
      </c>
      <c r="I2">
        <v>0.03</v>
      </c>
      <c r="J2">
        <v>0</v>
      </c>
      <c r="K2">
        <v>3.78</v>
      </c>
      <c r="L2">
        <v>61.48</v>
      </c>
      <c r="M2">
        <v>1.51</v>
      </c>
      <c r="N2">
        <v>62.73</v>
      </c>
      <c r="O2" t="s">
        <v>633</v>
      </c>
      <c r="P2">
        <v>0</v>
      </c>
    </row>
    <row r="3" spans="1:16" x14ac:dyDescent="0.25">
      <c r="A3" t="s">
        <v>82</v>
      </c>
      <c r="B3" t="s">
        <v>496</v>
      </c>
      <c r="C3" t="s">
        <v>846</v>
      </c>
      <c r="D3" t="s">
        <v>847</v>
      </c>
      <c r="E3" t="s">
        <v>30</v>
      </c>
      <c r="F3">
        <v>23</v>
      </c>
      <c r="G3" t="s">
        <v>21</v>
      </c>
      <c r="H3">
        <v>1.48</v>
      </c>
      <c r="I3">
        <v>0.03</v>
      </c>
      <c r="J3">
        <v>0</v>
      </c>
      <c r="K3">
        <v>2.09</v>
      </c>
      <c r="L3">
        <v>34.04</v>
      </c>
      <c r="M3">
        <v>1.51</v>
      </c>
      <c r="N3">
        <v>34.729999999999997</v>
      </c>
      <c r="O3" t="s">
        <v>848</v>
      </c>
      <c r="P3">
        <v>0</v>
      </c>
    </row>
    <row r="4" spans="1:16" x14ac:dyDescent="0.25">
      <c r="A4" t="s">
        <v>16</v>
      </c>
      <c r="B4" t="s">
        <v>32</v>
      </c>
      <c r="C4" t="s">
        <v>849</v>
      </c>
      <c r="D4" t="s">
        <v>850</v>
      </c>
      <c r="E4" t="s">
        <v>64</v>
      </c>
      <c r="F4">
        <v>29.587</v>
      </c>
      <c r="G4" t="s">
        <v>21</v>
      </c>
      <c r="H4">
        <f>M4-I4</f>
        <v>2.02</v>
      </c>
      <c r="I4">
        <v>0.04</v>
      </c>
      <c r="J4">
        <v>0</v>
      </c>
      <c r="K4">
        <v>0.12</v>
      </c>
      <c r="L4" s="1">
        <f>F4*H4</f>
        <v>59.765740000000001</v>
      </c>
      <c r="M4">
        <v>2.06</v>
      </c>
      <c r="N4">
        <v>60.95</v>
      </c>
      <c r="O4" t="s">
        <v>465</v>
      </c>
      <c r="P4">
        <v>0</v>
      </c>
    </row>
    <row r="5" spans="1:16" x14ac:dyDescent="0.25">
      <c r="A5" t="s">
        <v>16</v>
      </c>
      <c r="B5" t="s">
        <v>32</v>
      </c>
      <c r="C5" t="s">
        <v>851</v>
      </c>
      <c r="D5" t="s">
        <v>852</v>
      </c>
      <c r="E5" t="s">
        <v>37</v>
      </c>
      <c r="F5">
        <v>19.361000000000001</v>
      </c>
      <c r="G5" t="s">
        <v>21</v>
      </c>
      <c r="H5">
        <v>0.82</v>
      </c>
      <c r="I5">
        <v>0.01</v>
      </c>
      <c r="J5">
        <v>0</v>
      </c>
      <c r="K5">
        <v>-3.48</v>
      </c>
      <c r="L5">
        <v>15.88</v>
      </c>
      <c r="M5">
        <v>0.83</v>
      </c>
      <c r="N5">
        <v>16.07</v>
      </c>
      <c r="O5" t="s">
        <v>195</v>
      </c>
      <c r="P5">
        <v>0</v>
      </c>
    </row>
    <row r="6" spans="1:16" x14ac:dyDescent="0.25">
      <c r="A6" t="s">
        <v>16</v>
      </c>
      <c r="B6" t="s">
        <v>496</v>
      </c>
      <c r="C6" t="s">
        <v>853</v>
      </c>
      <c r="D6" t="s">
        <v>854</v>
      </c>
      <c r="E6" t="s">
        <v>37</v>
      </c>
      <c r="F6">
        <v>30.41</v>
      </c>
      <c r="G6" t="s">
        <v>21</v>
      </c>
      <c r="H6">
        <v>0.82</v>
      </c>
      <c r="I6">
        <v>0.01</v>
      </c>
      <c r="J6">
        <v>0</v>
      </c>
      <c r="K6">
        <v>-5.47</v>
      </c>
      <c r="L6">
        <v>24.94</v>
      </c>
      <c r="M6">
        <v>0.83</v>
      </c>
      <c r="N6">
        <v>25.24</v>
      </c>
      <c r="O6" t="s">
        <v>668</v>
      </c>
      <c r="P6">
        <v>0</v>
      </c>
    </row>
    <row r="7" spans="1:16" x14ac:dyDescent="0.25">
      <c r="A7" t="s">
        <v>16</v>
      </c>
      <c r="B7" t="s">
        <v>496</v>
      </c>
      <c r="C7" t="s">
        <v>855</v>
      </c>
      <c r="D7" t="s">
        <v>856</v>
      </c>
      <c r="E7" t="s">
        <v>30</v>
      </c>
      <c r="F7">
        <v>53.947000000000003</v>
      </c>
      <c r="G7" t="s">
        <v>21</v>
      </c>
      <c r="H7">
        <v>1.48</v>
      </c>
      <c r="I7">
        <v>0.03</v>
      </c>
      <c r="J7">
        <v>0</v>
      </c>
      <c r="K7">
        <v>4.91</v>
      </c>
      <c r="L7">
        <v>79.84</v>
      </c>
      <c r="M7">
        <v>1.51</v>
      </c>
      <c r="N7">
        <v>81.459999999999994</v>
      </c>
      <c r="O7" t="s">
        <v>466</v>
      </c>
      <c r="P7">
        <v>0</v>
      </c>
    </row>
    <row r="8" spans="1:16" x14ac:dyDescent="0.25">
      <c r="A8" t="s">
        <v>16</v>
      </c>
      <c r="B8" t="s">
        <v>496</v>
      </c>
      <c r="C8" t="s">
        <v>857</v>
      </c>
      <c r="D8" t="s">
        <v>858</v>
      </c>
      <c r="E8" t="s">
        <v>30</v>
      </c>
      <c r="F8">
        <v>34</v>
      </c>
      <c r="G8" t="s">
        <v>21</v>
      </c>
      <c r="H8">
        <v>1.48</v>
      </c>
      <c r="I8">
        <v>0.03</v>
      </c>
      <c r="J8">
        <v>0</v>
      </c>
      <c r="K8">
        <v>3.09</v>
      </c>
      <c r="L8">
        <v>50.32</v>
      </c>
      <c r="M8">
        <v>1.51</v>
      </c>
      <c r="N8">
        <v>51.34</v>
      </c>
      <c r="O8" t="s">
        <v>523</v>
      </c>
      <c r="P8">
        <v>49643</v>
      </c>
    </row>
    <row r="9" spans="1:16" x14ac:dyDescent="0.25">
      <c r="A9" t="s">
        <v>86</v>
      </c>
      <c r="B9" t="s">
        <v>24</v>
      </c>
      <c r="C9" t="s">
        <v>859</v>
      </c>
      <c r="D9" t="s">
        <v>860</v>
      </c>
      <c r="E9" t="s">
        <v>37</v>
      </c>
      <c r="F9">
        <v>33.904000000000003</v>
      </c>
      <c r="G9" t="s">
        <v>21</v>
      </c>
      <c r="H9">
        <v>0.82</v>
      </c>
      <c r="I9">
        <v>0.01</v>
      </c>
      <c r="J9">
        <v>0</v>
      </c>
      <c r="K9">
        <v>-6.1</v>
      </c>
      <c r="L9">
        <v>27.8</v>
      </c>
      <c r="M9">
        <v>0.83</v>
      </c>
      <c r="N9">
        <v>28.14</v>
      </c>
      <c r="O9" t="s">
        <v>861</v>
      </c>
      <c r="P9">
        <v>0</v>
      </c>
    </row>
    <row r="10" spans="1:16" x14ac:dyDescent="0.25">
      <c r="A10" t="s">
        <v>86</v>
      </c>
      <c r="B10" t="s">
        <v>496</v>
      </c>
      <c r="C10" t="s">
        <v>862</v>
      </c>
      <c r="D10" t="s">
        <v>863</v>
      </c>
      <c r="E10" t="s">
        <v>37</v>
      </c>
      <c r="F10">
        <v>37.4819999999999</v>
      </c>
      <c r="G10" t="s">
        <v>21</v>
      </c>
      <c r="H10">
        <v>0.82</v>
      </c>
      <c r="I10">
        <v>0.01</v>
      </c>
      <c r="J10">
        <v>0</v>
      </c>
      <c r="K10">
        <v>-6.75</v>
      </c>
      <c r="L10">
        <v>30.74</v>
      </c>
      <c r="M10">
        <v>0.83</v>
      </c>
      <c r="N10">
        <v>31.11</v>
      </c>
      <c r="O10" t="s">
        <v>528</v>
      </c>
      <c r="P10">
        <v>0</v>
      </c>
    </row>
    <row r="11" spans="1:16" x14ac:dyDescent="0.25">
      <c r="A11" t="s">
        <v>86</v>
      </c>
      <c r="B11" t="s">
        <v>363</v>
      </c>
      <c r="C11" t="s">
        <v>851</v>
      </c>
      <c r="D11" t="s">
        <v>852</v>
      </c>
      <c r="E11" t="s">
        <v>37</v>
      </c>
      <c r="F11">
        <v>10.795</v>
      </c>
      <c r="G11" t="s">
        <v>21</v>
      </c>
      <c r="H11">
        <v>0.82</v>
      </c>
      <c r="I11">
        <v>0.01</v>
      </c>
      <c r="J11">
        <v>0</v>
      </c>
      <c r="K11">
        <v>-1.94</v>
      </c>
      <c r="L11">
        <v>8.85</v>
      </c>
      <c r="M11">
        <v>0.83</v>
      </c>
      <c r="N11">
        <v>8.9600000000000009</v>
      </c>
      <c r="O11" t="s">
        <v>861</v>
      </c>
      <c r="P11">
        <v>0</v>
      </c>
    </row>
    <row r="12" spans="1:16" x14ac:dyDescent="0.25">
      <c r="A12" t="s">
        <v>86</v>
      </c>
      <c r="B12" t="s">
        <v>103</v>
      </c>
      <c r="C12" t="s">
        <v>864</v>
      </c>
      <c r="D12" t="s">
        <v>865</v>
      </c>
      <c r="E12" t="s">
        <v>30</v>
      </c>
      <c r="F12">
        <v>19.98</v>
      </c>
      <c r="G12" t="s">
        <v>21</v>
      </c>
      <c r="H12">
        <v>1.48</v>
      </c>
      <c r="I12">
        <v>0.03</v>
      </c>
      <c r="J12">
        <v>0</v>
      </c>
      <c r="K12">
        <v>1.82</v>
      </c>
      <c r="L12">
        <v>29.57</v>
      </c>
      <c r="M12">
        <v>1.51</v>
      </c>
      <c r="N12">
        <v>30.17</v>
      </c>
      <c r="O12" t="s">
        <v>866</v>
      </c>
      <c r="P12">
        <v>0</v>
      </c>
    </row>
    <row r="13" spans="1:16" x14ac:dyDescent="0.25">
      <c r="A13" t="s">
        <v>86</v>
      </c>
      <c r="B13" t="s">
        <v>217</v>
      </c>
      <c r="C13" t="s">
        <v>851</v>
      </c>
      <c r="D13" t="s">
        <v>852</v>
      </c>
      <c r="E13" t="s">
        <v>37</v>
      </c>
      <c r="F13">
        <v>16.59</v>
      </c>
      <c r="G13" t="s">
        <v>21</v>
      </c>
      <c r="H13">
        <v>0.82</v>
      </c>
      <c r="I13">
        <v>0.01</v>
      </c>
      <c r="J13">
        <v>0</v>
      </c>
      <c r="K13">
        <v>-2.99</v>
      </c>
      <c r="L13">
        <v>13.6</v>
      </c>
      <c r="M13">
        <v>0.83</v>
      </c>
      <c r="N13">
        <v>13.77</v>
      </c>
      <c r="O13" t="s">
        <v>867</v>
      </c>
      <c r="P13">
        <v>0</v>
      </c>
    </row>
    <row r="14" spans="1:16" x14ac:dyDescent="0.25">
      <c r="A14" t="s">
        <v>151</v>
      </c>
      <c r="B14" t="s">
        <v>868</v>
      </c>
      <c r="C14" t="s">
        <v>851</v>
      </c>
      <c r="D14" t="s">
        <v>852</v>
      </c>
      <c r="E14" t="s">
        <v>37</v>
      </c>
      <c r="F14">
        <v>25.916</v>
      </c>
      <c r="G14" t="s">
        <v>21</v>
      </c>
      <c r="H14">
        <v>0.82</v>
      </c>
      <c r="I14">
        <v>0.01</v>
      </c>
      <c r="J14">
        <v>0</v>
      </c>
      <c r="K14">
        <v>-4.66</v>
      </c>
      <c r="L14">
        <v>21.25</v>
      </c>
      <c r="M14">
        <v>0.83</v>
      </c>
      <c r="N14">
        <v>21.51</v>
      </c>
      <c r="O14" t="s">
        <v>801</v>
      </c>
      <c r="P14">
        <v>0</v>
      </c>
    </row>
    <row r="15" spans="1:16" x14ac:dyDescent="0.25">
      <c r="A15" t="s">
        <v>151</v>
      </c>
      <c r="B15" t="s">
        <v>32</v>
      </c>
      <c r="C15" t="s">
        <v>869</v>
      </c>
      <c r="D15" t="s">
        <v>870</v>
      </c>
      <c r="E15" t="s">
        <v>30</v>
      </c>
      <c r="F15">
        <v>38.701999999999899</v>
      </c>
      <c r="G15" t="s">
        <v>21</v>
      </c>
      <c r="H15">
        <v>1.48</v>
      </c>
      <c r="I15">
        <v>0.03</v>
      </c>
      <c r="J15">
        <v>0</v>
      </c>
      <c r="K15">
        <v>3.52</v>
      </c>
      <c r="L15">
        <v>57.28</v>
      </c>
      <c r="M15">
        <v>1.51</v>
      </c>
      <c r="N15">
        <v>58.44</v>
      </c>
      <c r="O15" t="s">
        <v>231</v>
      </c>
      <c r="P15">
        <v>331738</v>
      </c>
    </row>
    <row r="16" spans="1:16" x14ac:dyDescent="0.25">
      <c r="A16" t="s">
        <v>151</v>
      </c>
      <c r="B16" t="s">
        <v>363</v>
      </c>
      <c r="C16" t="s">
        <v>851</v>
      </c>
      <c r="D16" t="s">
        <v>852</v>
      </c>
      <c r="E16" t="s">
        <v>37</v>
      </c>
      <c r="F16">
        <v>27.663</v>
      </c>
      <c r="G16" t="s">
        <v>21</v>
      </c>
      <c r="H16">
        <v>0.82</v>
      </c>
      <c r="I16">
        <v>0.01</v>
      </c>
      <c r="J16">
        <v>0</v>
      </c>
      <c r="K16">
        <v>-4.9800000000000004</v>
      </c>
      <c r="L16">
        <v>22.68</v>
      </c>
      <c r="M16">
        <v>0.83</v>
      </c>
      <c r="N16">
        <v>22.96</v>
      </c>
      <c r="O16" t="s">
        <v>773</v>
      </c>
      <c r="P16">
        <v>0</v>
      </c>
    </row>
    <row r="17" spans="1:16" x14ac:dyDescent="0.25">
      <c r="A17" t="s">
        <v>151</v>
      </c>
      <c r="B17" t="s">
        <v>217</v>
      </c>
      <c r="C17" t="s">
        <v>851</v>
      </c>
      <c r="D17" t="s">
        <v>852</v>
      </c>
      <c r="E17" t="s">
        <v>37</v>
      </c>
      <c r="F17">
        <v>10.157</v>
      </c>
      <c r="G17" t="s">
        <v>21</v>
      </c>
      <c r="H17">
        <v>0.82</v>
      </c>
      <c r="I17">
        <v>0.01</v>
      </c>
      <c r="J17">
        <v>0</v>
      </c>
      <c r="K17">
        <v>-1.83</v>
      </c>
      <c r="L17">
        <v>8.33</v>
      </c>
      <c r="M17">
        <v>0.83</v>
      </c>
      <c r="N17">
        <v>8.43</v>
      </c>
      <c r="O17" t="s">
        <v>195</v>
      </c>
      <c r="P17">
        <v>0</v>
      </c>
    </row>
    <row r="21" spans="1:16" x14ac:dyDescent="0.25">
      <c r="F21" s="5">
        <f>SUM(F2:F20)</f>
        <v>453.03699999999969</v>
      </c>
      <c r="L21" s="1">
        <f>SUM(L2:L20)</f>
        <v>546.36574000000007</v>
      </c>
    </row>
    <row r="26" spans="1:16" x14ac:dyDescent="0.25">
      <c r="E26" t="s">
        <v>30</v>
      </c>
      <c r="F26">
        <v>211.172</v>
      </c>
    </row>
    <row r="27" spans="1:16" x14ac:dyDescent="0.25">
      <c r="E27" t="s">
        <v>64</v>
      </c>
      <c r="F27">
        <v>29.587</v>
      </c>
    </row>
    <row r="28" spans="1:16" x14ac:dyDescent="0.25">
      <c r="E28" t="s">
        <v>37</v>
      </c>
      <c r="F28">
        <v>212.27799999999999</v>
      </c>
    </row>
  </sheetData>
  <autoFilter ref="A1:P17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P28"/>
  <sheetViews>
    <sheetView workbookViewId="0">
      <selection activeCell="H29" sqref="H29"/>
    </sheetView>
  </sheetViews>
  <sheetFormatPr defaultRowHeight="15" x14ac:dyDescent="0.25"/>
  <cols>
    <col min="1" max="1" width="10.42578125" bestFit="1" customWidth="1"/>
    <col min="2" max="2" width="25.7109375" bestFit="1" customWidth="1"/>
    <col min="3" max="3" width="8.42578125" bestFit="1" customWidth="1"/>
    <col min="4" max="4" width="18.28515625" bestFit="1" customWidth="1"/>
    <col min="5" max="5" width="22.85546875" bestFit="1" customWidth="1"/>
    <col min="6" max="6" width="8.5703125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83</v>
      </c>
      <c r="B2" t="s">
        <v>32</v>
      </c>
      <c r="C2" t="s">
        <v>871</v>
      </c>
      <c r="D2" t="s">
        <v>872</v>
      </c>
      <c r="E2" t="s">
        <v>37</v>
      </c>
      <c r="F2">
        <v>30.6389999999999</v>
      </c>
      <c r="G2" t="s">
        <v>21</v>
      </c>
      <c r="H2">
        <v>0.82</v>
      </c>
      <c r="I2">
        <v>0.01</v>
      </c>
      <c r="J2">
        <v>0</v>
      </c>
      <c r="K2">
        <v>-5.52</v>
      </c>
      <c r="L2">
        <v>25.12</v>
      </c>
      <c r="M2">
        <v>0.83</v>
      </c>
      <c r="N2">
        <v>25.43</v>
      </c>
      <c r="O2" t="s">
        <v>873</v>
      </c>
      <c r="P2">
        <v>0</v>
      </c>
    </row>
    <row r="3" spans="1:16" x14ac:dyDescent="0.25">
      <c r="A3" t="s">
        <v>83</v>
      </c>
      <c r="B3" t="s">
        <v>32</v>
      </c>
      <c r="C3" t="s">
        <v>874</v>
      </c>
      <c r="D3" t="s">
        <v>875</v>
      </c>
      <c r="E3" t="s">
        <v>87</v>
      </c>
      <c r="F3">
        <v>19.5109999999999</v>
      </c>
      <c r="G3" t="s">
        <v>21</v>
      </c>
      <c r="H3">
        <v>1.72</v>
      </c>
      <c r="I3">
        <v>0.04</v>
      </c>
      <c r="J3">
        <v>0</v>
      </c>
      <c r="K3">
        <v>1.64</v>
      </c>
      <c r="L3">
        <v>33.56</v>
      </c>
      <c r="M3">
        <v>1.76</v>
      </c>
      <c r="N3">
        <v>34.340000000000003</v>
      </c>
      <c r="O3" t="s">
        <v>69</v>
      </c>
      <c r="P3">
        <v>0</v>
      </c>
    </row>
    <row r="4" spans="1:16" x14ac:dyDescent="0.25">
      <c r="A4" t="s">
        <v>83</v>
      </c>
      <c r="B4" t="s">
        <v>32</v>
      </c>
      <c r="C4" t="s">
        <v>876</v>
      </c>
      <c r="D4" t="s">
        <v>877</v>
      </c>
      <c r="E4" t="s">
        <v>87</v>
      </c>
      <c r="F4">
        <v>20</v>
      </c>
      <c r="G4" t="s">
        <v>21</v>
      </c>
      <c r="H4">
        <v>1.72</v>
      </c>
      <c r="I4">
        <v>0.04</v>
      </c>
      <c r="J4">
        <v>0</v>
      </c>
      <c r="K4">
        <v>1.68</v>
      </c>
      <c r="L4">
        <v>34.4</v>
      </c>
      <c r="M4">
        <v>1.76</v>
      </c>
      <c r="N4">
        <v>35.200000000000003</v>
      </c>
      <c r="O4" t="s">
        <v>69</v>
      </c>
      <c r="P4">
        <v>0</v>
      </c>
    </row>
    <row r="5" spans="1:16" x14ac:dyDescent="0.25">
      <c r="A5" t="s">
        <v>83</v>
      </c>
      <c r="B5" t="s">
        <v>496</v>
      </c>
      <c r="C5" t="s">
        <v>878</v>
      </c>
      <c r="D5" t="s">
        <v>879</v>
      </c>
      <c r="E5" t="s">
        <v>37</v>
      </c>
      <c r="F5">
        <v>27.41</v>
      </c>
      <c r="G5" t="s">
        <v>21</v>
      </c>
      <c r="H5">
        <v>0.82</v>
      </c>
      <c r="I5">
        <v>0.01</v>
      </c>
      <c r="J5">
        <v>0</v>
      </c>
      <c r="K5">
        <v>-4.93</v>
      </c>
      <c r="L5">
        <v>22.48</v>
      </c>
      <c r="M5">
        <v>0.83</v>
      </c>
      <c r="N5">
        <v>22.75</v>
      </c>
      <c r="O5" t="s">
        <v>556</v>
      </c>
      <c r="P5">
        <v>0</v>
      </c>
    </row>
    <row r="6" spans="1:16" x14ac:dyDescent="0.25">
      <c r="A6" t="s">
        <v>371</v>
      </c>
      <c r="B6" t="s">
        <v>496</v>
      </c>
      <c r="C6" t="s">
        <v>878</v>
      </c>
      <c r="D6" t="s">
        <v>879</v>
      </c>
      <c r="E6" t="s">
        <v>37</v>
      </c>
      <c r="F6">
        <v>17.457999999999899</v>
      </c>
      <c r="G6" t="s">
        <v>21</v>
      </c>
      <c r="H6">
        <v>0.82</v>
      </c>
      <c r="I6">
        <v>0.01</v>
      </c>
      <c r="J6">
        <v>0</v>
      </c>
      <c r="K6">
        <v>-3.14</v>
      </c>
      <c r="L6">
        <v>14.32</v>
      </c>
      <c r="M6">
        <v>0.83</v>
      </c>
      <c r="N6">
        <v>14.49</v>
      </c>
      <c r="O6" t="s">
        <v>861</v>
      </c>
      <c r="P6">
        <v>0</v>
      </c>
    </row>
    <row r="7" spans="1:16" x14ac:dyDescent="0.25">
      <c r="A7" t="s">
        <v>371</v>
      </c>
      <c r="B7" t="s">
        <v>496</v>
      </c>
      <c r="C7" t="s">
        <v>880</v>
      </c>
      <c r="D7" t="s">
        <v>881</v>
      </c>
      <c r="E7" t="s">
        <v>37</v>
      </c>
      <c r="F7">
        <v>24.855</v>
      </c>
      <c r="G7" t="s">
        <v>21</v>
      </c>
      <c r="H7">
        <v>0.82</v>
      </c>
      <c r="I7">
        <v>0.01</v>
      </c>
      <c r="J7">
        <v>0</v>
      </c>
      <c r="K7">
        <v>-4.47</v>
      </c>
      <c r="L7">
        <v>20.38</v>
      </c>
      <c r="M7">
        <v>0.83</v>
      </c>
      <c r="N7">
        <v>20.63</v>
      </c>
      <c r="O7" t="s">
        <v>604</v>
      </c>
      <c r="P7">
        <v>0</v>
      </c>
    </row>
    <row r="8" spans="1:16" x14ac:dyDescent="0.25">
      <c r="A8" t="s">
        <v>371</v>
      </c>
      <c r="B8" t="s">
        <v>496</v>
      </c>
      <c r="C8" t="s">
        <v>882</v>
      </c>
      <c r="D8" t="s">
        <v>883</v>
      </c>
      <c r="E8" t="s">
        <v>37</v>
      </c>
      <c r="F8">
        <v>20.506</v>
      </c>
      <c r="G8" t="s">
        <v>21</v>
      </c>
      <c r="H8">
        <v>0.82</v>
      </c>
      <c r="I8">
        <v>0.01</v>
      </c>
      <c r="J8">
        <v>0</v>
      </c>
      <c r="K8">
        <v>-3.69</v>
      </c>
      <c r="L8">
        <v>16.809999999999999</v>
      </c>
      <c r="M8">
        <v>0.83</v>
      </c>
      <c r="N8">
        <v>17.02</v>
      </c>
      <c r="O8" t="s">
        <v>884</v>
      </c>
      <c r="P8">
        <v>0</v>
      </c>
    </row>
    <row r="9" spans="1:16" x14ac:dyDescent="0.25">
      <c r="A9" t="s">
        <v>16</v>
      </c>
      <c r="B9" t="s">
        <v>496</v>
      </c>
      <c r="C9" t="s">
        <v>871</v>
      </c>
      <c r="D9" t="s">
        <v>872</v>
      </c>
      <c r="E9" t="s">
        <v>37</v>
      </c>
      <c r="F9">
        <v>26.795000000000002</v>
      </c>
      <c r="G9" t="s">
        <v>21</v>
      </c>
      <c r="H9">
        <v>0.82</v>
      </c>
      <c r="I9">
        <v>0.01</v>
      </c>
      <c r="J9">
        <v>0</v>
      </c>
      <c r="K9">
        <v>-4.82</v>
      </c>
      <c r="L9">
        <v>21.97</v>
      </c>
      <c r="M9">
        <v>0.83</v>
      </c>
      <c r="N9">
        <v>22.24</v>
      </c>
      <c r="O9" t="s">
        <v>885</v>
      </c>
      <c r="P9">
        <v>0</v>
      </c>
    </row>
    <row r="10" spans="1:16" x14ac:dyDescent="0.25">
      <c r="A10" t="s">
        <v>16</v>
      </c>
      <c r="B10" t="s">
        <v>496</v>
      </c>
      <c r="C10" t="s">
        <v>880</v>
      </c>
      <c r="D10" t="s">
        <v>881</v>
      </c>
      <c r="E10" t="s">
        <v>37</v>
      </c>
      <c r="F10">
        <v>23.157</v>
      </c>
      <c r="G10" t="s">
        <v>21</v>
      </c>
      <c r="H10">
        <v>0.82</v>
      </c>
      <c r="I10">
        <v>0.01</v>
      </c>
      <c r="J10">
        <v>0</v>
      </c>
      <c r="K10">
        <v>-4.17</v>
      </c>
      <c r="L10">
        <v>18.989999999999998</v>
      </c>
      <c r="M10">
        <v>0.83</v>
      </c>
      <c r="N10">
        <v>19.22</v>
      </c>
      <c r="O10" t="s">
        <v>886</v>
      </c>
      <c r="P10">
        <v>0</v>
      </c>
    </row>
    <row r="11" spans="1:16" x14ac:dyDescent="0.25">
      <c r="A11" t="s">
        <v>86</v>
      </c>
      <c r="B11" t="s">
        <v>32</v>
      </c>
      <c r="C11" t="s">
        <v>878</v>
      </c>
      <c r="D11" t="s">
        <v>879</v>
      </c>
      <c r="E11" t="s">
        <v>37</v>
      </c>
      <c r="F11">
        <v>25.361000000000001</v>
      </c>
      <c r="G11" t="s">
        <v>21</v>
      </c>
      <c r="H11">
        <v>0.82</v>
      </c>
      <c r="I11">
        <v>0.01</v>
      </c>
      <c r="J11">
        <v>0</v>
      </c>
      <c r="K11">
        <v>-4.5599999999999996</v>
      </c>
      <c r="L11">
        <v>20.8</v>
      </c>
      <c r="M11">
        <v>0.83</v>
      </c>
      <c r="N11">
        <v>21.05</v>
      </c>
      <c r="O11" t="s">
        <v>569</v>
      </c>
      <c r="P11">
        <v>149758</v>
      </c>
    </row>
    <row r="12" spans="1:16" x14ac:dyDescent="0.25">
      <c r="A12" t="s">
        <v>86</v>
      </c>
      <c r="B12" t="s">
        <v>32</v>
      </c>
      <c r="C12" t="s">
        <v>874</v>
      </c>
      <c r="D12" t="s">
        <v>875</v>
      </c>
      <c r="E12" t="s">
        <v>87</v>
      </c>
      <c r="F12">
        <v>15</v>
      </c>
      <c r="G12" t="s">
        <v>21</v>
      </c>
      <c r="H12">
        <v>1.72</v>
      </c>
      <c r="I12">
        <v>0.04</v>
      </c>
      <c r="J12">
        <v>0</v>
      </c>
      <c r="K12">
        <v>1.26</v>
      </c>
      <c r="L12">
        <v>25.8</v>
      </c>
      <c r="M12">
        <v>1.76</v>
      </c>
      <c r="N12">
        <v>26.4</v>
      </c>
      <c r="O12" t="s">
        <v>306</v>
      </c>
      <c r="P12">
        <v>0</v>
      </c>
    </row>
    <row r="13" spans="1:16" x14ac:dyDescent="0.25">
      <c r="A13" t="s">
        <v>86</v>
      </c>
      <c r="B13" t="s">
        <v>32</v>
      </c>
      <c r="C13" t="s">
        <v>876</v>
      </c>
      <c r="D13" t="s">
        <v>877</v>
      </c>
      <c r="E13" t="s">
        <v>87</v>
      </c>
      <c r="F13">
        <v>14.1649999999999</v>
      </c>
      <c r="G13" t="s">
        <v>21</v>
      </c>
      <c r="H13">
        <v>1.72</v>
      </c>
      <c r="I13">
        <v>0.04</v>
      </c>
      <c r="J13">
        <v>0</v>
      </c>
      <c r="K13">
        <v>1.19</v>
      </c>
      <c r="L13">
        <v>24.36</v>
      </c>
      <c r="M13">
        <v>1.76</v>
      </c>
      <c r="N13">
        <v>24.93</v>
      </c>
      <c r="O13" t="s">
        <v>887</v>
      </c>
      <c r="P13">
        <v>0</v>
      </c>
    </row>
    <row r="14" spans="1:16" x14ac:dyDescent="0.25">
      <c r="A14" t="s">
        <v>86</v>
      </c>
      <c r="B14" t="s">
        <v>496</v>
      </c>
      <c r="C14" t="s">
        <v>871</v>
      </c>
      <c r="D14" t="s">
        <v>872</v>
      </c>
      <c r="E14" t="s">
        <v>30</v>
      </c>
      <c r="F14">
        <v>5</v>
      </c>
      <c r="G14" t="s">
        <v>21</v>
      </c>
      <c r="H14">
        <v>1.48</v>
      </c>
      <c r="I14">
        <v>0.03</v>
      </c>
      <c r="J14">
        <v>0</v>
      </c>
      <c r="K14">
        <v>0.45</v>
      </c>
      <c r="L14">
        <v>7.4</v>
      </c>
      <c r="M14">
        <v>1.51</v>
      </c>
      <c r="N14">
        <v>7.55</v>
      </c>
      <c r="O14" t="s">
        <v>888</v>
      </c>
      <c r="P14">
        <v>175447</v>
      </c>
    </row>
    <row r="15" spans="1:16" x14ac:dyDescent="0.25">
      <c r="A15" t="s">
        <v>86</v>
      </c>
      <c r="B15" t="s">
        <v>496</v>
      </c>
      <c r="C15" t="s">
        <v>880</v>
      </c>
      <c r="D15" t="s">
        <v>881</v>
      </c>
      <c r="E15" t="s">
        <v>37</v>
      </c>
      <c r="F15">
        <v>20.300999999999899</v>
      </c>
      <c r="G15" t="s">
        <v>21</v>
      </c>
      <c r="H15">
        <v>0.82</v>
      </c>
      <c r="I15">
        <v>0.01</v>
      </c>
      <c r="J15">
        <v>0</v>
      </c>
      <c r="K15">
        <v>-3.65</v>
      </c>
      <c r="L15">
        <v>16.649999999999999</v>
      </c>
      <c r="M15">
        <v>0.83</v>
      </c>
      <c r="N15">
        <v>16.850000000000001</v>
      </c>
      <c r="O15" t="s">
        <v>889</v>
      </c>
      <c r="P15">
        <v>0</v>
      </c>
    </row>
    <row r="16" spans="1:16" x14ac:dyDescent="0.25">
      <c r="A16" t="s">
        <v>151</v>
      </c>
      <c r="B16" t="s">
        <v>496</v>
      </c>
      <c r="C16" t="s">
        <v>871</v>
      </c>
      <c r="D16" t="s">
        <v>872</v>
      </c>
      <c r="E16" t="s">
        <v>37</v>
      </c>
      <c r="F16">
        <v>28.806999999999899</v>
      </c>
      <c r="G16" t="s">
        <v>21</v>
      </c>
      <c r="H16">
        <v>0.82</v>
      </c>
      <c r="I16">
        <v>0.01</v>
      </c>
      <c r="J16">
        <v>0</v>
      </c>
      <c r="K16">
        <v>-5.19</v>
      </c>
      <c r="L16">
        <v>23.62</v>
      </c>
      <c r="M16">
        <v>0.83</v>
      </c>
      <c r="N16">
        <v>23.91</v>
      </c>
      <c r="O16" t="s">
        <v>890</v>
      </c>
      <c r="P16">
        <v>175575</v>
      </c>
    </row>
    <row r="17" spans="1:16" x14ac:dyDescent="0.25">
      <c r="A17" t="s">
        <v>151</v>
      </c>
      <c r="B17" t="s">
        <v>103</v>
      </c>
      <c r="C17" t="s">
        <v>891</v>
      </c>
      <c r="D17" t="s">
        <v>892</v>
      </c>
      <c r="E17" t="s">
        <v>37</v>
      </c>
      <c r="F17">
        <v>21.024000000000001</v>
      </c>
      <c r="G17" t="s">
        <v>21</v>
      </c>
      <c r="H17">
        <v>0.82</v>
      </c>
      <c r="I17">
        <v>0.01</v>
      </c>
      <c r="J17">
        <v>0</v>
      </c>
      <c r="K17">
        <v>-3.78</v>
      </c>
      <c r="L17">
        <v>17.239999999999998</v>
      </c>
      <c r="M17">
        <v>0.83</v>
      </c>
      <c r="N17">
        <v>17.45</v>
      </c>
      <c r="O17" t="s">
        <v>893</v>
      </c>
      <c r="P17">
        <v>0</v>
      </c>
    </row>
    <row r="18" spans="1:16" x14ac:dyDescent="0.25">
      <c r="A18" t="s">
        <v>23</v>
      </c>
      <c r="B18" t="s">
        <v>17</v>
      </c>
      <c r="C18" t="s">
        <v>878</v>
      </c>
      <c r="D18" t="s">
        <v>879</v>
      </c>
      <c r="E18" t="s">
        <v>37</v>
      </c>
      <c r="F18">
        <v>27.831</v>
      </c>
      <c r="G18" t="s">
        <v>21</v>
      </c>
      <c r="H18">
        <v>0.82</v>
      </c>
      <c r="I18">
        <v>0.01</v>
      </c>
      <c r="J18">
        <v>0</v>
      </c>
      <c r="K18">
        <v>-5.01</v>
      </c>
      <c r="L18">
        <v>22.82</v>
      </c>
      <c r="M18">
        <v>0.83</v>
      </c>
      <c r="N18">
        <v>23.1</v>
      </c>
      <c r="O18" t="s">
        <v>894</v>
      </c>
      <c r="P18">
        <v>149931</v>
      </c>
    </row>
    <row r="19" spans="1:16" x14ac:dyDescent="0.25">
      <c r="A19" t="s">
        <v>23</v>
      </c>
      <c r="B19" t="s">
        <v>496</v>
      </c>
      <c r="C19" t="s">
        <v>891</v>
      </c>
      <c r="D19" t="s">
        <v>892</v>
      </c>
      <c r="E19" t="s">
        <v>37</v>
      </c>
      <c r="F19">
        <v>21.663</v>
      </c>
      <c r="G19" t="s">
        <v>21</v>
      </c>
      <c r="H19">
        <v>0.82</v>
      </c>
      <c r="I19">
        <v>0.01</v>
      </c>
      <c r="J19">
        <v>0</v>
      </c>
      <c r="K19">
        <v>-3.9</v>
      </c>
      <c r="L19">
        <v>17.760000000000002</v>
      </c>
      <c r="M19">
        <v>0.83</v>
      </c>
      <c r="N19">
        <v>17.98</v>
      </c>
      <c r="O19" t="s">
        <v>895</v>
      </c>
      <c r="P19">
        <v>0</v>
      </c>
    </row>
    <row r="20" spans="1:16" x14ac:dyDescent="0.25">
      <c r="F20">
        <f>SUM(F2:F19)</f>
        <v>389.48299999999938</v>
      </c>
      <c r="L20">
        <f>SUM(L2:L19)</f>
        <v>384.48</v>
      </c>
    </row>
    <row r="26" spans="1:16" x14ac:dyDescent="0.25">
      <c r="E26" t="s">
        <v>30</v>
      </c>
      <c r="F26">
        <v>5</v>
      </c>
    </row>
    <row r="27" spans="1:16" x14ac:dyDescent="0.25">
      <c r="E27" t="s">
        <v>37</v>
      </c>
      <c r="F27">
        <v>315.80700000000002</v>
      </c>
    </row>
    <row r="28" spans="1:16" x14ac:dyDescent="0.25">
      <c r="E28" t="s">
        <v>87</v>
      </c>
      <c r="F28">
        <v>68.676000000000002</v>
      </c>
    </row>
  </sheetData>
  <autoFilter ref="A1:P20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P4"/>
  <sheetViews>
    <sheetView workbookViewId="0">
      <selection activeCell="I18" sqref="I18"/>
    </sheetView>
  </sheetViews>
  <sheetFormatPr defaultRowHeight="15" x14ac:dyDescent="0.25"/>
  <cols>
    <col min="4" max="4" width="18.28515625" bestFit="1" customWidth="1"/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32</v>
      </c>
      <c r="C2" t="s">
        <v>896</v>
      </c>
      <c r="D2" t="s">
        <v>897</v>
      </c>
      <c r="E2" t="s">
        <v>20</v>
      </c>
      <c r="F2">
        <v>100</v>
      </c>
      <c r="G2" t="s">
        <v>21</v>
      </c>
      <c r="H2">
        <v>1.78</v>
      </c>
      <c r="I2">
        <v>0.03</v>
      </c>
      <c r="J2">
        <v>0</v>
      </c>
      <c r="K2">
        <v>11.1</v>
      </c>
      <c r="L2">
        <v>178</v>
      </c>
      <c r="M2">
        <v>1.81</v>
      </c>
      <c r="N2">
        <v>181</v>
      </c>
      <c r="O2" t="s">
        <v>898</v>
      </c>
      <c r="P2">
        <v>0</v>
      </c>
    </row>
    <row r="3" spans="1:16" x14ac:dyDescent="0.25">
      <c r="A3" t="s">
        <v>23</v>
      </c>
      <c r="B3" t="s">
        <v>32</v>
      </c>
      <c r="C3" t="s">
        <v>896</v>
      </c>
      <c r="D3" t="s">
        <v>897</v>
      </c>
      <c r="E3" t="s">
        <v>20</v>
      </c>
      <c r="F3">
        <v>100.06100000000001</v>
      </c>
      <c r="G3" t="s">
        <v>21</v>
      </c>
      <c r="H3">
        <v>1.77</v>
      </c>
      <c r="I3">
        <v>0.03</v>
      </c>
      <c r="J3">
        <v>0</v>
      </c>
      <c r="K3">
        <v>12.41</v>
      </c>
      <c r="L3">
        <v>177.11</v>
      </c>
      <c r="M3">
        <v>1.8</v>
      </c>
      <c r="N3">
        <v>180.11</v>
      </c>
      <c r="O3" t="s">
        <v>899</v>
      </c>
      <c r="P3">
        <v>0</v>
      </c>
    </row>
    <row r="4" spans="1:16" x14ac:dyDescent="0.25">
      <c r="F4">
        <f>SUM(F2:F3)</f>
        <v>200.06100000000001</v>
      </c>
      <c r="L4">
        <f>SUM(L2:L3)</f>
        <v>355.11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P2"/>
  <sheetViews>
    <sheetView workbookViewId="0">
      <selection activeCell="M21" sqref="M21"/>
    </sheetView>
  </sheetViews>
  <sheetFormatPr defaultRowHeight="15" x14ac:dyDescent="0.25"/>
  <cols>
    <col min="1" max="1" width="10.42578125" bestFit="1" customWidth="1"/>
    <col min="2" max="2" width="19.28515625" bestFit="1" customWidth="1"/>
    <col min="3" max="3" width="8.42578125" bestFit="1" customWidth="1"/>
    <col min="4" max="4" width="18.28515625" bestFit="1" customWidth="1"/>
    <col min="5" max="5" width="15.42578125" bestFit="1" customWidth="1"/>
    <col min="6" max="6" width="6.5703125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151</v>
      </c>
      <c r="B2" t="s">
        <v>17</v>
      </c>
      <c r="C2" t="s">
        <v>900</v>
      </c>
      <c r="D2" t="s">
        <v>901</v>
      </c>
      <c r="E2" t="s">
        <v>37</v>
      </c>
      <c r="F2">
        <v>32</v>
      </c>
      <c r="G2" t="s">
        <v>21</v>
      </c>
      <c r="H2">
        <v>0.82</v>
      </c>
      <c r="I2">
        <v>0.01</v>
      </c>
      <c r="J2">
        <v>0</v>
      </c>
      <c r="K2">
        <v>-5.76</v>
      </c>
      <c r="L2">
        <v>26.24</v>
      </c>
      <c r="M2">
        <v>0.83</v>
      </c>
      <c r="N2">
        <v>26.56</v>
      </c>
      <c r="O2" t="s">
        <v>902</v>
      </c>
      <c r="P2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P5"/>
  <sheetViews>
    <sheetView workbookViewId="0">
      <selection activeCell="K21" sqref="K21"/>
    </sheetView>
  </sheetViews>
  <sheetFormatPr defaultRowHeight="15" x14ac:dyDescent="0.25"/>
  <cols>
    <col min="4" max="4" width="18.28515625" bestFit="1" customWidth="1"/>
    <col min="12" max="12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82</v>
      </c>
      <c r="B2" t="s">
        <v>32</v>
      </c>
      <c r="C2" t="s">
        <v>903</v>
      </c>
      <c r="D2" t="s">
        <v>904</v>
      </c>
      <c r="E2" t="s">
        <v>37</v>
      </c>
      <c r="F2">
        <v>30</v>
      </c>
      <c r="G2" t="s">
        <v>21</v>
      </c>
      <c r="H2">
        <v>0.82</v>
      </c>
      <c r="I2">
        <v>0.01</v>
      </c>
      <c r="J2">
        <v>0</v>
      </c>
      <c r="K2">
        <v>-5.4</v>
      </c>
      <c r="L2">
        <v>24.6</v>
      </c>
      <c r="M2">
        <v>0.83</v>
      </c>
      <c r="N2">
        <v>24.9</v>
      </c>
      <c r="O2" t="s">
        <v>678</v>
      </c>
      <c r="P2">
        <v>0</v>
      </c>
    </row>
    <row r="3" spans="1:16" x14ac:dyDescent="0.25">
      <c r="A3" t="s">
        <v>151</v>
      </c>
      <c r="B3" t="s">
        <v>32</v>
      </c>
      <c r="C3" t="s">
        <v>905</v>
      </c>
      <c r="D3" t="s">
        <v>906</v>
      </c>
      <c r="E3" t="s">
        <v>37</v>
      </c>
      <c r="F3">
        <v>28.651</v>
      </c>
      <c r="G3" t="s">
        <v>21</v>
      </c>
      <c r="H3">
        <v>0.82</v>
      </c>
      <c r="I3">
        <v>0.01</v>
      </c>
      <c r="J3">
        <v>0</v>
      </c>
      <c r="K3">
        <v>-5.16</v>
      </c>
      <c r="L3">
        <v>23.49</v>
      </c>
      <c r="M3">
        <v>0.83</v>
      </c>
      <c r="N3">
        <v>23.78</v>
      </c>
      <c r="O3" t="s">
        <v>256</v>
      </c>
      <c r="P3">
        <v>56450</v>
      </c>
    </row>
    <row r="4" spans="1:16" x14ac:dyDescent="0.25">
      <c r="A4" t="s">
        <v>23</v>
      </c>
      <c r="B4" t="s">
        <v>32</v>
      </c>
      <c r="C4" t="s">
        <v>903</v>
      </c>
      <c r="D4" t="s">
        <v>904</v>
      </c>
      <c r="E4" t="s">
        <v>37</v>
      </c>
      <c r="F4">
        <v>28.277000000000001</v>
      </c>
      <c r="G4" t="s">
        <v>21</v>
      </c>
      <c r="H4">
        <v>0.82</v>
      </c>
      <c r="I4">
        <v>0.01</v>
      </c>
      <c r="J4">
        <v>0</v>
      </c>
      <c r="K4">
        <v>-5.09</v>
      </c>
      <c r="L4">
        <v>23.19</v>
      </c>
      <c r="M4">
        <v>0.83</v>
      </c>
      <c r="N4">
        <v>23.47</v>
      </c>
      <c r="O4" t="s">
        <v>389</v>
      </c>
      <c r="P4">
        <v>57260</v>
      </c>
    </row>
    <row r="5" spans="1:16" x14ac:dyDescent="0.25">
      <c r="F5">
        <f>SUM(F2:F4)</f>
        <v>86.927999999999997</v>
      </c>
      <c r="L5">
        <f>SUM(L2:L4)</f>
        <v>71.28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P75"/>
  <sheetViews>
    <sheetView topLeftCell="A43" workbookViewId="0">
      <selection activeCell="O84" sqref="O84"/>
    </sheetView>
  </sheetViews>
  <sheetFormatPr defaultRowHeight="15" x14ac:dyDescent="0.25"/>
  <cols>
    <col min="1" max="1" width="10.42578125" bestFit="1" customWidth="1"/>
    <col min="4" max="4" width="18.28515625" bestFit="1" customWidth="1"/>
    <col min="5" max="5" width="22.85546875" bestFit="1" customWidth="1"/>
    <col min="12" max="12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5">
      <c r="A2" s="3" t="s">
        <v>42</v>
      </c>
      <c r="B2" s="3" t="s">
        <v>95</v>
      </c>
      <c r="C2" s="3" t="s">
        <v>907</v>
      </c>
      <c r="D2" s="3" t="s">
        <v>908</v>
      </c>
      <c r="E2" s="3" t="s">
        <v>20</v>
      </c>
      <c r="F2" s="3">
        <v>57.012</v>
      </c>
      <c r="G2" s="3" t="s">
        <v>21</v>
      </c>
      <c r="H2" s="3">
        <f>M2-I2</f>
        <v>1.65</v>
      </c>
      <c r="I2" s="3">
        <v>0.04</v>
      </c>
      <c r="J2" s="3">
        <v>0</v>
      </c>
      <c r="L2" s="4">
        <f>F2*H2</f>
        <v>94.069800000000001</v>
      </c>
      <c r="M2" s="3">
        <v>1.69</v>
      </c>
      <c r="N2" s="3">
        <v>96.35</v>
      </c>
      <c r="O2" s="3" t="s">
        <v>909</v>
      </c>
      <c r="P2" s="3">
        <v>278310</v>
      </c>
    </row>
    <row r="3" spans="1:16" s="3" customFormat="1" x14ac:dyDescent="0.25">
      <c r="A3" s="3" t="s">
        <v>42</v>
      </c>
      <c r="B3" s="3" t="s">
        <v>95</v>
      </c>
      <c r="C3" s="3" t="s">
        <v>910</v>
      </c>
      <c r="D3" s="3" t="s">
        <v>911</v>
      </c>
      <c r="E3" s="3" t="s">
        <v>20</v>
      </c>
      <c r="F3" s="3">
        <v>34</v>
      </c>
      <c r="G3" s="3" t="s">
        <v>21</v>
      </c>
      <c r="H3" s="3">
        <f t="shared" ref="H3:H41" si="0">M3-I3</f>
        <v>1.65</v>
      </c>
      <c r="I3" s="3">
        <v>0.04</v>
      </c>
      <c r="J3" s="3">
        <v>0</v>
      </c>
      <c r="L3" s="4">
        <f t="shared" ref="L3:L41" si="1">F3*H3</f>
        <v>56.099999999999994</v>
      </c>
      <c r="M3" s="3">
        <v>1.69</v>
      </c>
      <c r="N3" s="3">
        <v>57.46</v>
      </c>
      <c r="O3" s="3" t="s">
        <v>912</v>
      </c>
      <c r="P3" s="3">
        <v>258073</v>
      </c>
    </row>
    <row r="4" spans="1:16" s="3" customFormat="1" x14ac:dyDescent="0.25">
      <c r="A4" s="3" t="s">
        <v>42</v>
      </c>
      <c r="B4" s="3" t="s">
        <v>95</v>
      </c>
      <c r="C4" s="3" t="s">
        <v>913</v>
      </c>
      <c r="D4" s="3" t="s">
        <v>914</v>
      </c>
      <c r="E4" s="3" t="s">
        <v>20</v>
      </c>
      <c r="F4" s="3">
        <v>38.283999999999899</v>
      </c>
      <c r="G4" s="3" t="s">
        <v>21</v>
      </c>
      <c r="H4" s="3">
        <f t="shared" si="0"/>
        <v>1.65</v>
      </c>
      <c r="I4" s="3">
        <v>0.04</v>
      </c>
      <c r="J4" s="3">
        <v>0</v>
      </c>
      <c r="L4" s="4">
        <f t="shared" si="1"/>
        <v>63.168599999999827</v>
      </c>
      <c r="M4" s="3">
        <v>1.69</v>
      </c>
      <c r="N4" s="3">
        <v>64.7</v>
      </c>
      <c r="O4" s="3" t="s">
        <v>149</v>
      </c>
      <c r="P4" s="3">
        <v>260157</v>
      </c>
    </row>
    <row r="5" spans="1:16" s="3" customFormat="1" x14ac:dyDescent="0.25">
      <c r="A5" s="3" t="s">
        <v>42</v>
      </c>
      <c r="B5" s="3" t="s">
        <v>95</v>
      </c>
      <c r="C5" s="3" t="s">
        <v>915</v>
      </c>
      <c r="D5" s="3" t="s">
        <v>916</v>
      </c>
      <c r="E5" s="3" t="s">
        <v>20</v>
      </c>
      <c r="F5" s="3">
        <v>49.509</v>
      </c>
      <c r="G5" s="3" t="s">
        <v>21</v>
      </c>
      <c r="H5" s="3">
        <f t="shared" si="0"/>
        <v>1.65</v>
      </c>
      <c r="I5" s="3">
        <v>0.04</v>
      </c>
      <c r="J5" s="3">
        <v>0</v>
      </c>
      <c r="L5" s="4">
        <f t="shared" si="1"/>
        <v>81.689849999999993</v>
      </c>
      <c r="M5" s="3">
        <v>1.69</v>
      </c>
      <c r="N5" s="3">
        <v>83.67</v>
      </c>
      <c r="O5" s="3" t="s">
        <v>917</v>
      </c>
      <c r="P5" s="3">
        <v>0</v>
      </c>
    </row>
    <row r="6" spans="1:16" s="3" customFormat="1" x14ac:dyDescent="0.25">
      <c r="A6" s="3" t="s">
        <v>51</v>
      </c>
      <c r="B6" s="3" t="s">
        <v>95</v>
      </c>
      <c r="C6" s="3" t="s">
        <v>918</v>
      </c>
      <c r="D6" s="3" t="s">
        <v>919</v>
      </c>
      <c r="E6" s="3" t="s">
        <v>20</v>
      </c>
      <c r="F6" s="3">
        <v>53.841000000000001</v>
      </c>
      <c r="G6" s="3" t="s">
        <v>21</v>
      </c>
      <c r="H6" s="3">
        <f t="shared" si="0"/>
        <v>1.66</v>
      </c>
      <c r="I6" s="3">
        <v>0.04</v>
      </c>
      <c r="J6" s="3">
        <v>0</v>
      </c>
      <c r="L6" s="4">
        <f t="shared" si="1"/>
        <v>89.376059999999995</v>
      </c>
      <c r="M6" s="3">
        <v>1.7</v>
      </c>
      <c r="N6" s="3">
        <v>91.53</v>
      </c>
      <c r="O6" s="3" t="s">
        <v>920</v>
      </c>
      <c r="P6" s="3">
        <v>37180</v>
      </c>
    </row>
    <row r="7" spans="1:16" s="3" customFormat="1" x14ac:dyDescent="0.25">
      <c r="A7" s="3" t="s">
        <v>51</v>
      </c>
      <c r="B7" s="3" t="s">
        <v>95</v>
      </c>
      <c r="C7" s="3" t="s">
        <v>921</v>
      </c>
      <c r="D7" s="3" t="s">
        <v>922</v>
      </c>
      <c r="E7" s="3" t="s">
        <v>20</v>
      </c>
      <c r="F7" s="3">
        <v>22</v>
      </c>
      <c r="G7" s="3" t="s">
        <v>21</v>
      </c>
      <c r="H7" s="3">
        <f t="shared" si="0"/>
        <v>1.66</v>
      </c>
      <c r="I7" s="3">
        <v>0.04</v>
      </c>
      <c r="J7" s="3">
        <v>0</v>
      </c>
      <c r="L7" s="4">
        <f t="shared" si="1"/>
        <v>36.519999999999996</v>
      </c>
      <c r="M7" s="3">
        <v>1.7</v>
      </c>
      <c r="N7" s="3">
        <v>37.4</v>
      </c>
      <c r="O7" s="3" t="s">
        <v>256</v>
      </c>
      <c r="P7" s="3">
        <v>0</v>
      </c>
    </row>
    <row r="8" spans="1:16" s="3" customFormat="1" x14ac:dyDescent="0.25">
      <c r="A8" s="3" t="s">
        <v>56</v>
      </c>
      <c r="B8" s="3" t="s">
        <v>95</v>
      </c>
      <c r="C8" s="3" t="s">
        <v>923</v>
      </c>
      <c r="D8" s="3" t="s">
        <v>924</v>
      </c>
      <c r="E8" s="3" t="s">
        <v>87</v>
      </c>
      <c r="F8" s="3">
        <v>24.012</v>
      </c>
      <c r="G8" s="3" t="s">
        <v>21</v>
      </c>
      <c r="H8" s="3">
        <f t="shared" si="0"/>
        <v>1.68</v>
      </c>
      <c r="I8" s="3">
        <v>0.05</v>
      </c>
      <c r="J8" s="3">
        <v>0</v>
      </c>
      <c r="L8" s="4">
        <f t="shared" si="1"/>
        <v>40.340159999999997</v>
      </c>
      <c r="M8" s="3">
        <v>1.73</v>
      </c>
      <c r="N8" s="3">
        <v>41.54</v>
      </c>
      <c r="O8" s="3" t="s">
        <v>108</v>
      </c>
      <c r="P8" s="3">
        <v>177336</v>
      </c>
    </row>
    <row r="9" spans="1:16" s="3" customFormat="1" x14ac:dyDescent="0.25">
      <c r="A9" s="3" t="s">
        <v>56</v>
      </c>
      <c r="B9" s="3" t="s">
        <v>95</v>
      </c>
      <c r="C9" s="3" t="s">
        <v>925</v>
      </c>
      <c r="D9" s="3" t="s">
        <v>926</v>
      </c>
      <c r="E9" s="3" t="s">
        <v>20</v>
      </c>
      <c r="F9" s="3">
        <v>25</v>
      </c>
      <c r="G9" s="3" t="s">
        <v>21</v>
      </c>
      <c r="H9" s="3">
        <f t="shared" si="0"/>
        <v>1.68</v>
      </c>
      <c r="I9" s="3">
        <v>0.04</v>
      </c>
      <c r="J9" s="3">
        <v>0</v>
      </c>
      <c r="L9" s="4">
        <f t="shared" si="1"/>
        <v>42</v>
      </c>
      <c r="M9" s="3">
        <v>1.72</v>
      </c>
      <c r="N9" s="3">
        <v>43</v>
      </c>
      <c r="O9" s="3" t="s">
        <v>927</v>
      </c>
      <c r="P9" s="3">
        <v>240010</v>
      </c>
    </row>
    <row r="10" spans="1:16" s="3" customFormat="1" x14ac:dyDescent="0.25">
      <c r="A10" s="3" t="s">
        <v>185</v>
      </c>
      <c r="B10" s="3" t="s">
        <v>95</v>
      </c>
      <c r="C10" s="3" t="s">
        <v>928</v>
      </c>
      <c r="D10" s="3" t="s">
        <v>929</v>
      </c>
      <c r="E10" s="3" t="s">
        <v>20</v>
      </c>
      <c r="F10" s="3">
        <v>45.823999999999899</v>
      </c>
      <c r="G10" s="3" t="s">
        <v>21</v>
      </c>
      <c r="H10" s="3">
        <f t="shared" si="0"/>
        <v>1.72</v>
      </c>
      <c r="I10" s="3">
        <v>0.04</v>
      </c>
      <c r="J10" s="3">
        <v>0</v>
      </c>
      <c r="L10" s="4">
        <f t="shared" si="1"/>
        <v>78.817279999999826</v>
      </c>
      <c r="M10" s="3">
        <v>1.76</v>
      </c>
      <c r="N10" s="3">
        <v>80.650000000000006</v>
      </c>
      <c r="O10" s="3" t="s">
        <v>930</v>
      </c>
      <c r="P10" s="3">
        <v>23221</v>
      </c>
    </row>
    <row r="11" spans="1:16" s="3" customFormat="1" x14ac:dyDescent="0.25">
      <c r="A11" s="3" t="s">
        <v>185</v>
      </c>
      <c r="B11" s="3" t="s">
        <v>95</v>
      </c>
      <c r="C11" s="3" t="s">
        <v>931</v>
      </c>
      <c r="D11" s="3" t="s">
        <v>932</v>
      </c>
      <c r="E11" s="3" t="s">
        <v>30</v>
      </c>
      <c r="F11" s="3">
        <v>19.9469999999999</v>
      </c>
      <c r="G11" s="3" t="s">
        <v>21</v>
      </c>
      <c r="H11" s="3">
        <f t="shared" si="0"/>
        <v>1.46</v>
      </c>
      <c r="I11" s="3">
        <v>0.04</v>
      </c>
      <c r="J11" s="3">
        <v>0</v>
      </c>
      <c r="L11" s="4">
        <f t="shared" si="1"/>
        <v>29.122619999999852</v>
      </c>
      <c r="M11" s="3">
        <v>1.5</v>
      </c>
      <c r="N11" s="3">
        <v>29.92</v>
      </c>
      <c r="O11" s="3" t="s">
        <v>933</v>
      </c>
      <c r="P11" s="3">
        <v>0</v>
      </c>
    </row>
    <row r="12" spans="1:16" s="3" customFormat="1" x14ac:dyDescent="0.25">
      <c r="A12" s="3" t="s">
        <v>58</v>
      </c>
      <c r="B12" s="3" t="s">
        <v>95</v>
      </c>
      <c r="C12" s="3" t="s">
        <v>934</v>
      </c>
      <c r="D12" s="3" t="s">
        <v>935</v>
      </c>
      <c r="E12" s="3" t="s">
        <v>30</v>
      </c>
      <c r="F12" s="3">
        <v>38</v>
      </c>
      <c r="G12" s="3" t="s">
        <v>21</v>
      </c>
      <c r="H12" s="3">
        <f t="shared" si="0"/>
        <v>1.46</v>
      </c>
      <c r="I12" s="3">
        <v>0.04</v>
      </c>
      <c r="J12" s="3">
        <v>0</v>
      </c>
      <c r="L12" s="4">
        <f t="shared" si="1"/>
        <v>55.48</v>
      </c>
      <c r="M12" s="3">
        <v>1.5</v>
      </c>
      <c r="N12" s="3">
        <v>57</v>
      </c>
      <c r="O12" s="3" t="s">
        <v>398</v>
      </c>
      <c r="P12" s="3">
        <v>229685</v>
      </c>
    </row>
    <row r="13" spans="1:16" s="3" customFormat="1" x14ac:dyDescent="0.25">
      <c r="A13" s="3" t="s">
        <v>58</v>
      </c>
      <c r="B13" s="3" t="s">
        <v>95</v>
      </c>
      <c r="C13" s="3" t="s">
        <v>936</v>
      </c>
      <c r="D13" s="3" t="s">
        <v>937</v>
      </c>
      <c r="E13" s="3" t="s">
        <v>20</v>
      </c>
      <c r="F13" s="3">
        <v>62</v>
      </c>
      <c r="G13" s="3" t="s">
        <v>21</v>
      </c>
      <c r="H13" s="3">
        <f t="shared" si="0"/>
        <v>1.72</v>
      </c>
      <c r="I13" s="3">
        <v>0.04</v>
      </c>
      <c r="J13" s="3">
        <v>0</v>
      </c>
      <c r="L13" s="4">
        <f t="shared" si="1"/>
        <v>106.64</v>
      </c>
      <c r="M13" s="3">
        <v>1.76</v>
      </c>
      <c r="N13" s="3">
        <v>109.12</v>
      </c>
      <c r="O13" s="3" t="s">
        <v>938</v>
      </c>
      <c r="P13" s="3">
        <v>0</v>
      </c>
    </row>
    <row r="14" spans="1:16" s="3" customFormat="1" x14ac:dyDescent="0.25">
      <c r="A14" s="3" t="s">
        <v>58</v>
      </c>
      <c r="B14" s="3" t="s">
        <v>95</v>
      </c>
      <c r="C14" s="3" t="s">
        <v>939</v>
      </c>
      <c r="D14" s="3" t="s">
        <v>940</v>
      </c>
      <c r="E14" s="3" t="s">
        <v>30</v>
      </c>
      <c r="F14" s="3">
        <v>28.007000000000001</v>
      </c>
      <c r="G14" s="3" t="s">
        <v>21</v>
      </c>
      <c r="H14" s="3">
        <f t="shared" si="0"/>
        <v>1.46</v>
      </c>
      <c r="I14" s="3">
        <v>0.04</v>
      </c>
      <c r="J14" s="3">
        <v>0</v>
      </c>
      <c r="L14" s="4">
        <f t="shared" si="1"/>
        <v>40.890219999999999</v>
      </c>
      <c r="M14" s="3">
        <v>1.5</v>
      </c>
      <c r="N14" s="3">
        <v>42.01</v>
      </c>
      <c r="O14" s="3" t="s">
        <v>306</v>
      </c>
      <c r="P14" s="3">
        <v>322520</v>
      </c>
    </row>
    <row r="15" spans="1:16" s="3" customFormat="1" x14ac:dyDescent="0.25">
      <c r="A15" s="3" t="s">
        <v>111</v>
      </c>
      <c r="B15" s="3" t="s">
        <v>95</v>
      </c>
      <c r="C15" s="3" t="s">
        <v>941</v>
      </c>
      <c r="D15" s="3" t="s">
        <v>942</v>
      </c>
      <c r="E15" s="3" t="s">
        <v>30</v>
      </c>
      <c r="F15" s="3">
        <v>30</v>
      </c>
      <c r="G15" s="3" t="s">
        <v>21</v>
      </c>
      <c r="H15" s="3">
        <f t="shared" si="0"/>
        <v>1.46</v>
      </c>
      <c r="I15" s="3">
        <v>0.04</v>
      </c>
      <c r="J15" s="3">
        <v>0</v>
      </c>
      <c r="L15" s="4">
        <f t="shared" si="1"/>
        <v>43.8</v>
      </c>
      <c r="M15" s="3">
        <v>1.5</v>
      </c>
      <c r="N15" s="3">
        <v>45</v>
      </c>
      <c r="O15" s="3" t="s">
        <v>152</v>
      </c>
      <c r="P15" s="3">
        <v>3000</v>
      </c>
    </row>
    <row r="16" spans="1:16" s="3" customFormat="1" x14ac:dyDescent="0.25">
      <c r="A16" s="3" t="s">
        <v>66</v>
      </c>
      <c r="B16" s="3" t="s">
        <v>95</v>
      </c>
      <c r="C16" s="3" t="s">
        <v>921</v>
      </c>
      <c r="D16" s="3" t="s">
        <v>922</v>
      </c>
      <c r="E16" s="3" t="s">
        <v>20</v>
      </c>
      <c r="F16" s="3">
        <v>18</v>
      </c>
      <c r="G16" s="3" t="s">
        <v>21</v>
      </c>
      <c r="H16" s="3">
        <f t="shared" si="0"/>
        <v>1.73</v>
      </c>
      <c r="I16" s="3">
        <v>0.04</v>
      </c>
      <c r="J16" s="3">
        <v>0</v>
      </c>
      <c r="K16" s="3">
        <v>-7.0000000000000007E-2</v>
      </c>
      <c r="L16" s="4">
        <f t="shared" si="1"/>
        <v>31.14</v>
      </c>
      <c r="M16" s="3">
        <v>1.77</v>
      </c>
      <c r="N16" s="3">
        <v>31.86</v>
      </c>
      <c r="O16" s="3" t="s">
        <v>752</v>
      </c>
      <c r="P16" s="3">
        <v>0</v>
      </c>
    </row>
    <row r="17" spans="1:16" s="3" customFormat="1" x14ac:dyDescent="0.25">
      <c r="A17" s="3" t="s">
        <v>66</v>
      </c>
      <c r="B17" s="3" t="s">
        <v>95</v>
      </c>
      <c r="C17" s="3" t="s">
        <v>907</v>
      </c>
      <c r="D17" s="3" t="s">
        <v>908</v>
      </c>
      <c r="E17" s="3" t="s">
        <v>20</v>
      </c>
      <c r="F17" s="3">
        <v>49.893000000000001</v>
      </c>
      <c r="G17" s="3" t="s">
        <v>21</v>
      </c>
      <c r="H17" s="3">
        <f t="shared" si="0"/>
        <v>1.73</v>
      </c>
      <c r="I17" s="3">
        <v>0.04</v>
      </c>
      <c r="J17" s="3">
        <v>0</v>
      </c>
      <c r="K17" s="3">
        <v>-0.2</v>
      </c>
      <c r="L17" s="4">
        <f t="shared" si="1"/>
        <v>86.314890000000005</v>
      </c>
      <c r="M17" s="3">
        <v>1.77</v>
      </c>
      <c r="N17" s="3">
        <v>88.31</v>
      </c>
      <c r="O17" s="3" t="s">
        <v>943</v>
      </c>
      <c r="P17" s="3">
        <v>278977</v>
      </c>
    </row>
    <row r="18" spans="1:16" s="3" customFormat="1" x14ac:dyDescent="0.25">
      <c r="A18" s="3" t="s">
        <v>136</v>
      </c>
      <c r="B18" s="3" t="s">
        <v>95</v>
      </c>
      <c r="C18" s="3" t="s">
        <v>944</v>
      </c>
      <c r="D18" s="3" t="s">
        <v>945</v>
      </c>
      <c r="E18" s="3" t="s">
        <v>30</v>
      </c>
      <c r="F18" s="3">
        <v>31</v>
      </c>
      <c r="G18" s="3" t="s">
        <v>21</v>
      </c>
      <c r="H18" s="3">
        <f t="shared" si="0"/>
        <v>1.47</v>
      </c>
      <c r="I18" s="3">
        <v>0.04</v>
      </c>
      <c r="J18" s="3">
        <v>0</v>
      </c>
      <c r="K18" s="3">
        <v>0.12</v>
      </c>
      <c r="L18" s="4">
        <f t="shared" si="1"/>
        <v>45.57</v>
      </c>
      <c r="M18" s="3">
        <v>1.51</v>
      </c>
      <c r="N18" s="3">
        <v>46.81</v>
      </c>
      <c r="O18" s="3" t="s">
        <v>946</v>
      </c>
      <c r="P18" s="3">
        <v>296210</v>
      </c>
    </row>
    <row r="19" spans="1:16" s="3" customFormat="1" x14ac:dyDescent="0.25">
      <c r="A19" s="3" t="s">
        <v>136</v>
      </c>
      <c r="B19" s="3" t="s">
        <v>95</v>
      </c>
      <c r="C19" s="3" t="s">
        <v>918</v>
      </c>
      <c r="D19" s="3" t="s">
        <v>919</v>
      </c>
      <c r="E19" s="3" t="s">
        <v>20</v>
      </c>
      <c r="F19" s="3">
        <v>52.290999999999897</v>
      </c>
      <c r="G19" s="3" t="s">
        <v>21</v>
      </c>
      <c r="H19" s="3">
        <f t="shared" si="0"/>
        <v>1.75</v>
      </c>
      <c r="I19" s="3">
        <v>0.04</v>
      </c>
      <c r="J19" s="3">
        <v>0</v>
      </c>
      <c r="K19" s="3">
        <v>0.21</v>
      </c>
      <c r="L19" s="4">
        <f t="shared" si="1"/>
        <v>91.509249999999824</v>
      </c>
      <c r="M19" s="3">
        <v>1.79</v>
      </c>
      <c r="N19" s="3">
        <v>93.6</v>
      </c>
      <c r="O19" s="3" t="s">
        <v>947</v>
      </c>
      <c r="P19" s="3">
        <v>37639</v>
      </c>
    </row>
    <row r="20" spans="1:16" s="3" customFormat="1" x14ac:dyDescent="0.25">
      <c r="A20" s="3" t="s">
        <v>136</v>
      </c>
      <c r="B20" s="3" t="s">
        <v>95</v>
      </c>
      <c r="C20" s="3" t="s">
        <v>948</v>
      </c>
      <c r="D20" s="3" t="s">
        <v>949</v>
      </c>
      <c r="E20" s="3" t="s">
        <v>20</v>
      </c>
      <c r="F20" s="3">
        <v>35.380000000000003</v>
      </c>
      <c r="G20" s="3" t="s">
        <v>21</v>
      </c>
      <c r="H20" s="3">
        <f t="shared" si="0"/>
        <v>1.75</v>
      </c>
      <c r="I20" s="3">
        <v>0.04</v>
      </c>
      <c r="J20" s="3">
        <v>0</v>
      </c>
      <c r="K20" s="3">
        <v>0.14000000000000001</v>
      </c>
      <c r="L20" s="4">
        <f t="shared" si="1"/>
        <v>61.915000000000006</v>
      </c>
      <c r="M20" s="3">
        <v>1.79</v>
      </c>
      <c r="N20" s="3">
        <v>63.33</v>
      </c>
      <c r="O20" s="3" t="s">
        <v>917</v>
      </c>
      <c r="P20" s="3">
        <v>251960</v>
      </c>
    </row>
    <row r="21" spans="1:16" s="3" customFormat="1" x14ac:dyDescent="0.25">
      <c r="A21" s="3" t="s">
        <v>114</v>
      </c>
      <c r="B21" s="3" t="s">
        <v>95</v>
      </c>
      <c r="C21" s="3" t="s">
        <v>950</v>
      </c>
      <c r="D21" s="3" t="s">
        <v>951</v>
      </c>
      <c r="E21" s="3" t="s">
        <v>20</v>
      </c>
      <c r="F21" s="3">
        <v>50</v>
      </c>
      <c r="G21" s="3" t="s">
        <v>21</v>
      </c>
      <c r="H21" s="3">
        <f t="shared" si="0"/>
        <v>1.76</v>
      </c>
      <c r="I21" s="3">
        <v>0.04</v>
      </c>
      <c r="J21" s="3">
        <v>0</v>
      </c>
      <c r="K21" s="3">
        <v>0.2</v>
      </c>
      <c r="L21" s="4">
        <f t="shared" si="1"/>
        <v>88</v>
      </c>
      <c r="M21" s="3">
        <v>1.8</v>
      </c>
      <c r="N21" s="3">
        <v>90</v>
      </c>
      <c r="O21" s="3" t="s">
        <v>893</v>
      </c>
      <c r="P21" s="3">
        <v>0</v>
      </c>
    </row>
    <row r="22" spans="1:16" s="3" customFormat="1" x14ac:dyDescent="0.25">
      <c r="A22" s="3" t="s">
        <v>114</v>
      </c>
      <c r="B22" s="3" t="s">
        <v>95</v>
      </c>
      <c r="C22" s="3" t="s">
        <v>939</v>
      </c>
      <c r="D22" s="3" t="s">
        <v>940</v>
      </c>
      <c r="E22" s="3" t="s">
        <v>30</v>
      </c>
      <c r="F22" s="3">
        <v>30.02</v>
      </c>
      <c r="G22" s="3" t="s">
        <v>21</v>
      </c>
      <c r="H22" s="3">
        <f t="shared" si="0"/>
        <v>1.47</v>
      </c>
      <c r="I22" s="3">
        <v>0.04</v>
      </c>
      <c r="J22" s="3">
        <v>0</v>
      </c>
      <c r="K22" s="3">
        <v>0.12</v>
      </c>
      <c r="L22" s="4">
        <f t="shared" si="1"/>
        <v>44.129399999999997</v>
      </c>
      <c r="M22" s="3">
        <v>1.51</v>
      </c>
      <c r="N22" s="3">
        <v>45.33</v>
      </c>
      <c r="O22" s="3" t="s">
        <v>861</v>
      </c>
      <c r="P22" s="3">
        <v>322925</v>
      </c>
    </row>
    <row r="23" spans="1:16" s="3" customFormat="1" x14ac:dyDescent="0.25">
      <c r="A23" s="3" t="s">
        <v>114</v>
      </c>
      <c r="B23" s="3" t="s">
        <v>95</v>
      </c>
      <c r="C23" s="3" t="s">
        <v>921</v>
      </c>
      <c r="D23" s="3" t="s">
        <v>922</v>
      </c>
      <c r="E23" s="3" t="s">
        <v>20</v>
      </c>
      <c r="F23" s="3">
        <v>40</v>
      </c>
      <c r="G23" s="3" t="s">
        <v>21</v>
      </c>
      <c r="H23" s="3">
        <f t="shared" si="0"/>
        <v>1.76</v>
      </c>
      <c r="I23" s="3">
        <v>0.04</v>
      </c>
      <c r="J23" s="3">
        <v>0</v>
      </c>
      <c r="K23" s="3">
        <v>0.16</v>
      </c>
      <c r="L23" s="4">
        <f t="shared" si="1"/>
        <v>70.400000000000006</v>
      </c>
      <c r="M23" s="3">
        <v>1.8</v>
      </c>
      <c r="N23" s="3">
        <v>72</v>
      </c>
      <c r="O23" s="3" t="s">
        <v>626</v>
      </c>
      <c r="P23" s="3">
        <v>0</v>
      </c>
    </row>
    <row r="24" spans="1:16" s="3" customFormat="1" x14ac:dyDescent="0.25">
      <c r="A24" s="3" t="s">
        <v>114</v>
      </c>
      <c r="B24" s="3" t="s">
        <v>95</v>
      </c>
      <c r="C24" s="3" t="s">
        <v>936</v>
      </c>
      <c r="D24" s="3" t="s">
        <v>937</v>
      </c>
      <c r="E24" s="3" t="s">
        <v>20</v>
      </c>
      <c r="F24" s="3">
        <v>50</v>
      </c>
      <c r="G24" s="3" t="s">
        <v>21</v>
      </c>
      <c r="H24" s="3">
        <f t="shared" si="0"/>
        <v>1.76</v>
      </c>
      <c r="I24" s="3">
        <v>0.04</v>
      </c>
      <c r="J24" s="3">
        <v>0</v>
      </c>
      <c r="K24" s="3">
        <v>0.2</v>
      </c>
      <c r="L24" s="4">
        <f t="shared" si="1"/>
        <v>88</v>
      </c>
      <c r="M24" s="3">
        <v>1.8</v>
      </c>
      <c r="N24" s="3">
        <v>90</v>
      </c>
      <c r="O24" s="3" t="s">
        <v>952</v>
      </c>
      <c r="P24" s="3">
        <v>0</v>
      </c>
    </row>
    <row r="25" spans="1:16" s="3" customFormat="1" x14ac:dyDescent="0.25">
      <c r="A25" s="3" t="s">
        <v>70</v>
      </c>
      <c r="B25" s="3" t="s">
        <v>95</v>
      </c>
      <c r="C25" s="3" t="s">
        <v>953</v>
      </c>
      <c r="D25" s="3" t="s">
        <v>954</v>
      </c>
      <c r="E25" s="3" t="s">
        <v>30</v>
      </c>
      <c r="F25" s="3">
        <v>27.9469999999999</v>
      </c>
      <c r="G25" s="3" t="s">
        <v>21</v>
      </c>
      <c r="H25" s="3">
        <f t="shared" si="0"/>
        <v>1.47</v>
      </c>
      <c r="I25" s="3">
        <v>0.04</v>
      </c>
      <c r="J25" s="3">
        <v>0</v>
      </c>
      <c r="K25" s="3">
        <v>0.11</v>
      </c>
      <c r="L25" s="4">
        <f t="shared" si="1"/>
        <v>41.082089999999852</v>
      </c>
      <c r="M25" s="3">
        <v>1.51</v>
      </c>
      <c r="N25" s="3">
        <v>42.2</v>
      </c>
      <c r="O25" s="3" t="s">
        <v>92</v>
      </c>
      <c r="P25" s="3">
        <v>18780</v>
      </c>
    </row>
    <row r="26" spans="1:16" s="3" customFormat="1" x14ac:dyDescent="0.25">
      <c r="A26" s="3" t="s">
        <v>70</v>
      </c>
      <c r="B26" s="3" t="s">
        <v>95</v>
      </c>
      <c r="C26" s="3" t="s">
        <v>955</v>
      </c>
      <c r="D26" s="3" t="s">
        <v>956</v>
      </c>
      <c r="E26" s="3" t="s">
        <v>20</v>
      </c>
      <c r="F26" s="3">
        <v>47</v>
      </c>
      <c r="G26" s="3" t="s">
        <v>21</v>
      </c>
      <c r="H26" s="3">
        <f>M26-I26</f>
        <v>1.77</v>
      </c>
      <c r="I26" s="3">
        <v>0.04</v>
      </c>
      <c r="J26" s="3">
        <v>0</v>
      </c>
      <c r="K26" s="3">
        <v>0.19</v>
      </c>
      <c r="L26" s="4">
        <f t="shared" si="1"/>
        <v>83.19</v>
      </c>
      <c r="M26" s="3">
        <v>1.81</v>
      </c>
      <c r="N26" s="3">
        <v>85.07</v>
      </c>
      <c r="O26" s="3" t="s">
        <v>957</v>
      </c>
      <c r="P26" s="3">
        <v>585418</v>
      </c>
    </row>
    <row r="27" spans="1:16" s="3" customFormat="1" x14ac:dyDescent="0.25">
      <c r="A27" s="3" t="s">
        <v>70</v>
      </c>
      <c r="B27" s="3" t="s">
        <v>95</v>
      </c>
      <c r="C27" s="3" t="s">
        <v>915</v>
      </c>
      <c r="D27" s="3" t="s">
        <v>916</v>
      </c>
      <c r="E27" s="3" t="s">
        <v>20</v>
      </c>
      <c r="F27" s="3">
        <v>29.006</v>
      </c>
      <c r="G27" s="3" t="s">
        <v>21</v>
      </c>
      <c r="H27" s="3">
        <f t="shared" si="0"/>
        <v>1.77</v>
      </c>
      <c r="I27" s="3">
        <v>0.04</v>
      </c>
      <c r="J27" s="3">
        <v>0</v>
      </c>
      <c r="K27" s="3">
        <v>0.12</v>
      </c>
      <c r="L27" s="4">
        <f>F27*H27</f>
        <v>51.340620000000001</v>
      </c>
      <c r="M27" s="3">
        <v>1.81</v>
      </c>
      <c r="N27" s="3">
        <v>52.5</v>
      </c>
      <c r="O27" s="3" t="s">
        <v>958</v>
      </c>
      <c r="P27" s="3">
        <v>0</v>
      </c>
    </row>
    <row r="28" spans="1:16" s="3" customFormat="1" x14ac:dyDescent="0.25">
      <c r="A28" s="3" t="s">
        <v>141</v>
      </c>
      <c r="B28" s="3" t="s">
        <v>95</v>
      </c>
      <c r="C28" s="3" t="s">
        <v>959</v>
      </c>
      <c r="D28" s="3" t="s">
        <v>960</v>
      </c>
      <c r="E28" s="3" t="s">
        <v>20</v>
      </c>
      <c r="F28" s="3">
        <v>62</v>
      </c>
      <c r="G28" s="3" t="s">
        <v>21</v>
      </c>
      <c r="H28" s="3">
        <f t="shared" si="0"/>
        <v>1.77</v>
      </c>
      <c r="I28" s="3">
        <v>0.04</v>
      </c>
      <c r="J28" s="3">
        <v>0</v>
      </c>
      <c r="K28" s="3">
        <v>0.12</v>
      </c>
      <c r="L28" s="4">
        <f t="shared" si="1"/>
        <v>109.74</v>
      </c>
      <c r="M28" s="3">
        <v>1.81</v>
      </c>
      <c r="N28" s="3">
        <v>112.22</v>
      </c>
      <c r="O28" s="3" t="s">
        <v>208</v>
      </c>
      <c r="P28" s="3">
        <v>106770</v>
      </c>
    </row>
    <row r="29" spans="1:16" s="3" customFormat="1" x14ac:dyDescent="0.25">
      <c r="A29" s="3" t="s">
        <v>141</v>
      </c>
      <c r="B29" s="3" t="s">
        <v>95</v>
      </c>
      <c r="C29" s="3" t="s">
        <v>944</v>
      </c>
      <c r="D29" s="3" t="s">
        <v>945</v>
      </c>
      <c r="E29" s="3" t="s">
        <v>30</v>
      </c>
      <c r="F29" s="3">
        <v>32</v>
      </c>
      <c r="G29" s="3" t="s">
        <v>21</v>
      </c>
      <c r="H29" s="3">
        <f t="shared" si="0"/>
        <v>1.47</v>
      </c>
      <c r="I29" s="3">
        <v>0.04</v>
      </c>
      <c r="J29" s="3">
        <v>0</v>
      </c>
      <c r="K29" s="3">
        <v>0.03</v>
      </c>
      <c r="L29" s="4">
        <f t="shared" si="1"/>
        <v>47.04</v>
      </c>
      <c r="M29" s="3">
        <v>1.51</v>
      </c>
      <c r="N29" s="3">
        <v>48.32</v>
      </c>
      <c r="O29" s="3" t="s">
        <v>961</v>
      </c>
      <c r="P29" s="3">
        <v>296670</v>
      </c>
    </row>
    <row r="30" spans="1:16" s="3" customFormat="1" x14ac:dyDescent="0.25">
      <c r="A30" s="3" t="s">
        <v>141</v>
      </c>
      <c r="B30" s="3" t="s">
        <v>95</v>
      </c>
      <c r="C30" s="3" t="s">
        <v>934</v>
      </c>
      <c r="D30" s="3" t="s">
        <v>935</v>
      </c>
      <c r="E30" s="3" t="s">
        <v>30</v>
      </c>
      <c r="F30" s="3">
        <v>45</v>
      </c>
      <c r="G30" s="3" t="s">
        <v>21</v>
      </c>
      <c r="H30" s="3">
        <f t="shared" si="0"/>
        <v>1.47</v>
      </c>
      <c r="I30" s="3">
        <v>0.04</v>
      </c>
      <c r="J30" s="3">
        <v>0</v>
      </c>
      <c r="K30" s="3">
        <v>0.04</v>
      </c>
      <c r="L30" s="4">
        <f t="shared" si="1"/>
        <v>66.150000000000006</v>
      </c>
      <c r="M30" s="3">
        <v>1.51</v>
      </c>
      <c r="N30" s="3">
        <v>67.95</v>
      </c>
      <c r="O30" s="3" t="s">
        <v>359</v>
      </c>
      <c r="P30" s="3">
        <v>230301</v>
      </c>
    </row>
    <row r="31" spans="1:16" s="3" customFormat="1" x14ac:dyDescent="0.25">
      <c r="A31" s="3" t="s">
        <v>449</v>
      </c>
      <c r="B31" s="3" t="s">
        <v>95</v>
      </c>
      <c r="C31" s="3" t="s">
        <v>923</v>
      </c>
      <c r="D31" s="3" t="s">
        <v>924</v>
      </c>
      <c r="E31" s="3" t="s">
        <v>87</v>
      </c>
      <c r="F31" s="3">
        <v>13</v>
      </c>
      <c r="G31" s="3" t="s">
        <v>21</v>
      </c>
      <c r="H31" s="3">
        <f t="shared" si="0"/>
        <v>1.71</v>
      </c>
      <c r="I31" s="3">
        <v>0.05</v>
      </c>
      <c r="J31" s="3">
        <v>0</v>
      </c>
      <c r="K31" s="3">
        <v>0.05</v>
      </c>
      <c r="L31" s="4">
        <f t="shared" si="1"/>
        <v>22.23</v>
      </c>
      <c r="M31" s="3">
        <v>1.76</v>
      </c>
      <c r="N31" s="3">
        <v>22.88</v>
      </c>
      <c r="O31" s="3" t="s">
        <v>962</v>
      </c>
      <c r="P31" s="3">
        <v>177450</v>
      </c>
    </row>
    <row r="32" spans="1:16" s="3" customFormat="1" x14ac:dyDescent="0.25">
      <c r="A32" s="3" t="s">
        <v>449</v>
      </c>
      <c r="B32" s="3" t="s">
        <v>95</v>
      </c>
      <c r="C32" s="3" t="s">
        <v>941</v>
      </c>
      <c r="D32" s="3" t="s">
        <v>942</v>
      </c>
      <c r="E32" s="3" t="s">
        <v>30</v>
      </c>
      <c r="F32" s="3">
        <v>24</v>
      </c>
      <c r="G32" s="3" t="s">
        <v>21</v>
      </c>
      <c r="H32" s="3">
        <f t="shared" si="0"/>
        <v>1.47</v>
      </c>
      <c r="I32" s="3">
        <v>0.04</v>
      </c>
      <c r="J32" s="3">
        <v>0</v>
      </c>
      <c r="K32" s="3">
        <v>0.02</v>
      </c>
      <c r="L32" s="4">
        <f t="shared" si="1"/>
        <v>35.28</v>
      </c>
      <c r="M32" s="3">
        <v>1.51</v>
      </c>
      <c r="N32" s="3">
        <v>36.24</v>
      </c>
      <c r="O32" s="3" t="s">
        <v>963</v>
      </c>
      <c r="P32" s="3">
        <v>3315</v>
      </c>
    </row>
    <row r="33" spans="1:16" s="3" customFormat="1" x14ac:dyDescent="0.25">
      <c r="A33" s="3" t="s">
        <v>163</v>
      </c>
      <c r="B33" s="3" t="s">
        <v>95</v>
      </c>
      <c r="C33" s="3" t="s">
        <v>953</v>
      </c>
      <c r="D33" s="3" t="s">
        <v>954</v>
      </c>
      <c r="E33" s="3" t="s">
        <v>30</v>
      </c>
      <c r="F33" s="3">
        <v>12.1519999999999</v>
      </c>
      <c r="G33" s="3" t="s">
        <v>21</v>
      </c>
      <c r="H33" s="3">
        <f t="shared" si="0"/>
        <v>1.47</v>
      </c>
      <c r="I33" s="3">
        <v>0.04</v>
      </c>
      <c r="J33" s="3">
        <v>0</v>
      </c>
      <c r="K33" s="3">
        <v>0.01</v>
      </c>
      <c r="L33" s="4">
        <f t="shared" si="1"/>
        <v>17.863439999999851</v>
      </c>
      <c r="M33" s="3">
        <v>1.51</v>
      </c>
      <c r="N33" s="3">
        <v>18.350000000000001</v>
      </c>
      <c r="O33" s="3" t="s">
        <v>964</v>
      </c>
      <c r="P33" s="3">
        <v>19000</v>
      </c>
    </row>
    <row r="34" spans="1:16" s="3" customFormat="1" x14ac:dyDescent="0.25">
      <c r="A34" s="3" t="s">
        <v>163</v>
      </c>
      <c r="B34" s="3" t="s">
        <v>95</v>
      </c>
      <c r="C34" s="3" t="s">
        <v>941</v>
      </c>
      <c r="D34" s="3" t="s">
        <v>942</v>
      </c>
      <c r="E34" s="3" t="s">
        <v>30</v>
      </c>
      <c r="F34" s="3">
        <v>17</v>
      </c>
      <c r="G34" s="3" t="s">
        <v>21</v>
      </c>
      <c r="H34" s="3">
        <f t="shared" si="0"/>
        <v>1.47</v>
      </c>
      <c r="I34" s="3">
        <v>0.04</v>
      </c>
      <c r="J34" s="3">
        <v>0</v>
      </c>
      <c r="K34" s="3">
        <v>0.02</v>
      </c>
      <c r="L34" s="4">
        <f t="shared" si="1"/>
        <v>24.99</v>
      </c>
      <c r="M34" s="3">
        <v>1.51</v>
      </c>
      <c r="N34" s="3">
        <v>25.67</v>
      </c>
      <c r="O34" s="3" t="s">
        <v>965</v>
      </c>
      <c r="P34" s="3">
        <v>3590</v>
      </c>
    </row>
    <row r="35" spans="1:16" s="3" customFormat="1" x14ac:dyDescent="0.25">
      <c r="A35" s="3" t="s">
        <v>163</v>
      </c>
      <c r="B35" s="3" t="s">
        <v>95</v>
      </c>
      <c r="C35" s="3" t="s">
        <v>939</v>
      </c>
      <c r="D35" s="3" t="s">
        <v>940</v>
      </c>
      <c r="E35" s="3" t="s">
        <v>30</v>
      </c>
      <c r="F35" s="3">
        <v>6</v>
      </c>
      <c r="G35" s="3" t="s">
        <v>21</v>
      </c>
      <c r="H35" s="3">
        <f t="shared" si="0"/>
        <v>1.47</v>
      </c>
      <c r="I35" s="3">
        <v>0.04</v>
      </c>
      <c r="J35" s="3">
        <v>0</v>
      </c>
      <c r="K35" s="3">
        <v>0.01</v>
      </c>
      <c r="L35" s="4">
        <f t="shared" si="1"/>
        <v>8.82</v>
      </c>
      <c r="M35" s="3">
        <v>1.51</v>
      </c>
      <c r="N35" s="3">
        <v>9.06</v>
      </c>
      <c r="O35" s="3" t="s">
        <v>161</v>
      </c>
      <c r="P35" s="3">
        <v>323135</v>
      </c>
    </row>
    <row r="36" spans="1:16" s="3" customFormat="1" x14ac:dyDescent="0.25">
      <c r="A36" s="3" t="s">
        <v>72</v>
      </c>
      <c r="B36" s="3" t="s">
        <v>95</v>
      </c>
      <c r="C36" s="3" t="s">
        <v>923</v>
      </c>
      <c r="D36" s="3" t="s">
        <v>924</v>
      </c>
      <c r="E36" s="3" t="s">
        <v>87</v>
      </c>
      <c r="F36" s="3">
        <v>5</v>
      </c>
      <c r="G36" s="3" t="s">
        <v>21</v>
      </c>
      <c r="H36" s="3">
        <f t="shared" si="0"/>
        <v>1.71</v>
      </c>
      <c r="I36" s="3">
        <v>0.05</v>
      </c>
      <c r="J36" s="3">
        <v>0</v>
      </c>
      <c r="K36" s="3">
        <v>0.02</v>
      </c>
      <c r="L36" s="4">
        <f t="shared" si="1"/>
        <v>8.5500000000000007</v>
      </c>
      <c r="M36" s="3">
        <v>1.76</v>
      </c>
      <c r="N36" s="3">
        <v>8.8000000000000007</v>
      </c>
      <c r="O36" s="3" t="s">
        <v>822</v>
      </c>
      <c r="P36" s="3">
        <v>177510</v>
      </c>
    </row>
    <row r="37" spans="1:16" s="3" customFormat="1" x14ac:dyDescent="0.25">
      <c r="A37" s="3" t="s">
        <v>72</v>
      </c>
      <c r="B37" s="3" t="s">
        <v>95</v>
      </c>
      <c r="C37" s="3" t="s">
        <v>921</v>
      </c>
      <c r="D37" s="3" t="s">
        <v>922</v>
      </c>
      <c r="E37" s="3" t="s">
        <v>20</v>
      </c>
      <c r="F37" s="3">
        <v>17.0109999999999</v>
      </c>
      <c r="G37" s="3" t="s">
        <v>21</v>
      </c>
      <c r="H37" s="3">
        <f t="shared" si="0"/>
        <v>1.78</v>
      </c>
      <c r="I37" s="3">
        <v>0.04</v>
      </c>
      <c r="J37" s="3">
        <v>0</v>
      </c>
      <c r="K37" s="3">
        <v>7.0000000000000007E-2</v>
      </c>
      <c r="L37" s="4">
        <f t="shared" si="1"/>
        <v>30.279579999999822</v>
      </c>
      <c r="M37" s="3">
        <v>1.82</v>
      </c>
      <c r="N37" s="3">
        <v>30.96</v>
      </c>
      <c r="O37" s="3" t="s">
        <v>966</v>
      </c>
      <c r="P37" s="3">
        <v>0</v>
      </c>
    </row>
    <row r="38" spans="1:16" s="3" customFormat="1" x14ac:dyDescent="0.25">
      <c r="A38" s="3" t="s">
        <v>72</v>
      </c>
      <c r="B38" s="3" t="s">
        <v>95</v>
      </c>
      <c r="C38" s="3" t="s">
        <v>959</v>
      </c>
      <c r="D38" s="3" t="s">
        <v>960</v>
      </c>
      <c r="E38" s="3" t="s">
        <v>20</v>
      </c>
      <c r="F38" s="3">
        <v>32</v>
      </c>
      <c r="G38" s="3" t="s">
        <v>21</v>
      </c>
      <c r="H38" s="3">
        <f t="shared" si="0"/>
        <v>1.78</v>
      </c>
      <c r="I38" s="3">
        <v>0.04</v>
      </c>
      <c r="J38" s="3">
        <v>0</v>
      </c>
      <c r="K38" s="3">
        <v>0.13</v>
      </c>
      <c r="L38" s="4">
        <f t="shared" si="1"/>
        <v>56.96</v>
      </c>
      <c r="M38" s="3">
        <v>1.82</v>
      </c>
      <c r="N38" s="3">
        <v>58.24</v>
      </c>
      <c r="O38" s="3" t="s">
        <v>967</v>
      </c>
      <c r="P38" s="3">
        <v>0</v>
      </c>
    </row>
    <row r="39" spans="1:16" s="3" customFormat="1" x14ac:dyDescent="0.25">
      <c r="A39" s="3" t="s">
        <v>72</v>
      </c>
      <c r="B39" s="3" t="s">
        <v>95</v>
      </c>
      <c r="C39" s="3" t="s">
        <v>918</v>
      </c>
      <c r="D39" s="3" t="s">
        <v>919</v>
      </c>
      <c r="E39" s="3" t="s">
        <v>20</v>
      </c>
      <c r="F39" s="3">
        <v>42.988999999999898</v>
      </c>
      <c r="G39" s="3" t="s">
        <v>21</v>
      </c>
      <c r="H39" s="3">
        <f t="shared" si="0"/>
        <v>1.78</v>
      </c>
      <c r="I39" s="3">
        <v>0.04</v>
      </c>
      <c r="J39" s="3">
        <v>0</v>
      </c>
      <c r="K39" s="3">
        <v>0.17</v>
      </c>
      <c r="L39" s="4">
        <f t="shared" si="1"/>
        <v>76.520419999999817</v>
      </c>
      <c r="M39" s="3">
        <v>1.82</v>
      </c>
      <c r="N39" s="3">
        <v>78.239999999999995</v>
      </c>
      <c r="O39" s="3" t="s">
        <v>455</v>
      </c>
      <c r="P39" s="3">
        <v>37970</v>
      </c>
    </row>
    <row r="40" spans="1:16" s="3" customFormat="1" x14ac:dyDescent="0.25">
      <c r="A40" s="3" t="s">
        <v>72</v>
      </c>
      <c r="B40" s="3" t="s">
        <v>95</v>
      </c>
      <c r="C40" s="3" t="s">
        <v>968</v>
      </c>
      <c r="D40" s="3" t="s">
        <v>969</v>
      </c>
      <c r="E40" s="3" t="s">
        <v>20</v>
      </c>
      <c r="F40" s="3">
        <v>64</v>
      </c>
      <c r="G40" s="3" t="s">
        <v>21</v>
      </c>
      <c r="H40" s="3">
        <f t="shared" si="0"/>
        <v>1.78</v>
      </c>
      <c r="I40" s="3">
        <v>0.04</v>
      </c>
      <c r="J40" s="3">
        <v>0</v>
      </c>
      <c r="K40" s="3">
        <v>0.26</v>
      </c>
      <c r="L40" s="4">
        <f t="shared" si="1"/>
        <v>113.92</v>
      </c>
      <c r="M40" s="3">
        <v>1.82</v>
      </c>
      <c r="N40" s="3">
        <v>116.48</v>
      </c>
      <c r="O40" s="3" t="s">
        <v>773</v>
      </c>
      <c r="P40" s="3">
        <v>282430</v>
      </c>
    </row>
    <row r="41" spans="1:16" s="3" customFormat="1" x14ac:dyDescent="0.25">
      <c r="A41" s="3" t="s">
        <v>77</v>
      </c>
      <c r="B41" s="3" t="s">
        <v>95</v>
      </c>
      <c r="C41" s="3" t="s">
        <v>921</v>
      </c>
      <c r="D41" s="3" t="s">
        <v>922</v>
      </c>
      <c r="E41" s="3" t="s">
        <v>20</v>
      </c>
      <c r="F41" s="3">
        <v>40</v>
      </c>
      <c r="G41" s="3" t="s">
        <v>21</v>
      </c>
      <c r="H41" s="3">
        <f t="shared" si="0"/>
        <v>1.78</v>
      </c>
      <c r="I41" s="3">
        <v>0.04</v>
      </c>
      <c r="J41" s="3">
        <v>0</v>
      </c>
      <c r="K41" s="3">
        <v>0.16</v>
      </c>
      <c r="L41" s="4">
        <f t="shared" si="1"/>
        <v>71.2</v>
      </c>
      <c r="M41" s="3">
        <v>1.82</v>
      </c>
      <c r="N41" s="3">
        <v>72.8</v>
      </c>
      <c r="O41" s="3" t="s">
        <v>970</v>
      </c>
      <c r="P41" s="3">
        <v>0</v>
      </c>
    </row>
    <row r="42" spans="1:16" s="3" customFormat="1" x14ac:dyDescent="0.25">
      <c r="A42" s="3" t="s">
        <v>243</v>
      </c>
      <c r="B42" s="3" t="s">
        <v>95</v>
      </c>
      <c r="C42" s="3" t="s">
        <v>907</v>
      </c>
      <c r="D42" s="3" t="s">
        <v>908</v>
      </c>
      <c r="E42" s="3" t="s">
        <v>20</v>
      </c>
      <c r="F42" s="3">
        <v>46</v>
      </c>
      <c r="G42" s="3" t="s">
        <v>21</v>
      </c>
      <c r="H42" s="3">
        <v>1.78</v>
      </c>
      <c r="I42" s="3">
        <v>0.04</v>
      </c>
      <c r="J42" s="3">
        <v>0</v>
      </c>
      <c r="K42" s="3">
        <v>3.77</v>
      </c>
      <c r="L42" s="3">
        <v>81.88</v>
      </c>
      <c r="M42" s="3">
        <v>1.82</v>
      </c>
      <c r="N42" s="3">
        <v>83.72</v>
      </c>
      <c r="O42" s="3" t="s">
        <v>971</v>
      </c>
      <c r="P42" s="3">
        <v>279587</v>
      </c>
    </row>
    <row r="43" spans="1:16" s="3" customFormat="1" x14ac:dyDescent="0.25">
      <c r="A43" s="3" t="s">
        <v>243</v>
      </c>
      <c r="B43" s="3" t="s">
        <v>95</v>
      </c>
      <c r="C43" s="3" t="s">
        <v>972</v>
      </c>
      <c r="D43" s="3" t="s">
        <v>973</v>
      </c>
      <c r="E43" s="3" t="s">
        <v>20</v>
      </c>
      <c r="F43" s="3">
        <v>34</v>
      </c>
      <c r="G43" s="3" t="s">
        <v>21</v>
      </c>
      <c r="H43" s="3">
        <v>1.78</v>
      </c>
      <c r="I43" s="3">
        <v>0.04</v>
      </c>
      <c r="J43" s="3">
        <v>0</v>
      </c>
      <c r="K43" s="3">
        <v>2.79</v>
      </c>
      <c r="L43" s="3">
        <v>60.52</v>
      </c>
      <c r="M43" s="3">
        <v>1.82</v>
      </c>
      <c r="N43" s="3">
        <v>61.88</v>
      </c>
      <c r="O43" s="3" t="s">
        <v>974</v>
      </c>
      <c r="P43" s="3">
        <v>233555</v>
      </c>
    </row>
    <row r="44" spans="1:16" s="3" customFormat="1" x14ac:dyDescent="0.25">
      <c r="A44" s="3" t="s">
        <v>243</v>
      </c>
      <c r="B44" s="3" t="s">
        <v>95</v>
      </c>
      <c r="C44" s="3" t="s">
        <v>936</v>
      </c>
      <c r="D44" s="3" t="s">
        <v>937</v>
      </c>
      <c r="E44" s="3" t="s">
        <v>20</v>
      </c>
      <c r="F44" s="3">
        <v>63</v>
      </c>
      <c r="G44" s="3" t="s">
        <v>21</v>
      </c>
      <c r="H44" s="3">
        <v>1.78</v>
      </c>
      <c r="I44" s="3">
        <v>0.04</v>
      </c>
      <c r="J44" s="3">
        <v>0</v>
      </c>
      <c r="K44" s="3">
        <v>5.17</v>
      </c>
      <c r="L44" s="3">
        <v>112.14</v>
      </c>
      <c r="M44" s="3">
        <v>1.82</v>
      </c>
      <c r="N44" s="3">
        <v>114.66</v>
      </c>
      <c r="O44" s="3" t="s">
        <v>975</v>
      </c>
      <c r="P44" s="3">
        <v>0</v>
      </c>
    </row>
    <row r="45" spans="1:16" s="3" customFormat="1" x14ac:dyDescent="0.25">
      <c r="A45" s="3" t="s">
        <v>145</v>
      </c>
      <c r="B45" s="3" t="s">
        <v>95</v>
      </c>
      <c r="C45" s="3" t="s">
        <v>913</v>
      </c>
      <c r="D45" s="3" t="s">
        <v>914</v>
      </c>
      <c r="E45" s="3" t="s">
        <v>20</v>
      </c>
      <c r="F45" s="3">
        <v>53</v>
      </c>
      <c r="G45" s="3" t="s">
        <v>21</v>
      </c>
      <c r="H45" s="3">
        <v>1.78</v>
      </c>
      <c r="I45" s="3">
        <v>0.04</v>
      </c>
      <c r="J45" s="3">
        <v>0</v>
      </c>
      <c r="K45" s="3">
        <v>4.3499999999999996</v>
      </c>
      <c r="L45" s="3">
        <v>94.34</v>
      </c>
      <c r="M45" s="3">
        <v>1.82</v>
      </c>
      <c r="N45" s="3">
        <v>96.46</v>
      </c>
      <c r="O45" s="3" t="s">
        <v>976</v>
      </c>
      <c r="P45" s="3">
        <v>260963</v>
      </c>
    </row>
    <row r="46" spans="1:16" s="3" customFormat="1" x14ac:dyDescent="0.25">
      <c r="A46" s="3" t="s">
        <v>145</v>
      </c>
      <c r="B46" s="3" t="s">
        <v>95</v>
      </c>
      <c r="C46" s="3" t="s">
        <v>959</v>
      </c>
      <c r="D46" s="3" t="s">
        <v>960</v>
      </c>
      <c r="E46" s="3" t="s">
        <v>20</v>
      </c>
      <c r="F46" s="3">
        <v>39.0489999999999</v>
      </c>
      <c r="G46" s="3" t="s">
        <v>21</v>
      </c>
      <c r="H46" s="3">
        <v>1.78</v>
      </c>
      <c r="I46" s="3">
        <v>0.04</v>
      </c>
      <c r="J46" s="3">
        <v>0</v>
      </c>
      <c r="K46" s="3">
        <v>3.2</v>
      </c>
      <c r="L46" s="3">
        <v>69.510000000000005</v>
      </c>
      <c r="M46" s="3">
        <v>1.82</v>
      </c>
      <c r="N46" s="3">
        <v>71.069999999999993</v>
      </c>
      <c r="O46" s="3" t="s">
        <v>218</v>
      </c>
      <c r="P46" s="3">
        <v>107465</v>
      </c>
    </row>
    <row r="47" spans="1:16" s="3" customFormat="1" x14ac:dyDescent="0.25">
      <c r="A47" s="3" t="s">
        <v>82</v>
      </c>
      <c r="B47" s="3" t="s">
        <v>95</v>
      </c>
      <c r="C47" s="3" t="s">
        <v>931</v>
      </c>
      <c r="D47" s="3" t="s">
        <v>932</v>
      </c>
      <c r="E47" s="3" t="s">
        <v>30</v>
      </c>
      <c r="F47" s="3">
        <v>15</v>
      </c>
      <c r="G47" s="3" t="s">
        <v>21</v>
      </c>
      <c r="H47" s="3">
        <v>1.47</v>
      </c>
      <c r="I47" s="3">
        <v>0.04</v>
      </c>
      <c r="J47" s="3">
        <v>0</v>
      </c>
      <c r="K47" s="3">
        <v>1.21</v>
      </c>
      <c r="L47" s="3">
        <v>22.05</v>
      </c>
      <c r="M47" s="3">
        <v>1.51</v>
      </c>
      <c r="N47" s="3">
        <v>22.65</v>
      </c>
      <c r="O47" s="3" t="s">
        <v>977</v>
      </c>
      <c r="P47" s="3">
        <v>0</v>
      </c>
    </row>
    <row r="48" spans="1:16" s="3" customFormat="1" x14ac:dyDescent="0.25">
      <c r="A48" s="3" t="s">
        <v>82</v>
      </c>
      <c r="B48" s="3" t="s">
        <v>95</v>
      </c>
      <c r="C48" s="3" t="s">
        <v>941</v>
      </c>
      <c r="D48" s="3" t="s">
        <v>942</v>
      </c>
      <c r="E48" s="3" t="s">
        <v>30</v>
      </c>
      <c r="F48" s="3">
        <v>20</v>
      </c>
      <c r="G48" s="3" t="s">
        <v>21</v>
      </c>
      <c r="H48" s="3">
        <v>1.47</v>
      </c>
      <c r="I48" s="3">
        <v>0.04</v>
      </c>
      <c r="J48" s="3">
        <v>0</v>
      </c>
      <c r="K48" s="3">
        <v>1.62</v>
      </c>
      <c r="L48" s="3">
        <v>29.4</v>
      </c>
      <c r="M48" s="3">
        <v>1.51</v>
      </c>
      <c r="N48" s="3">
        <v>30.2</v>
      </c>
      <c r="O48" s="3" t="s">
        <v>930</v>
      </c>
      <c r="P48" s="3">
        <v>3865</v>
      </c>
    </row>
    <row r="49" spans="1:16" s="3" customFormat="1" x14ac:dyDescent="0.25">
      <c r="A49" s="3" t="s">
        <v>16</v>
      </c>
      <c r="B49" s="3" t="s">
        <v>95</v>
      </c>
      <c r="C49" s="3" t="s">
        <v>948</v>
      </c>
      <c r="D49" s="3" t="s">
        <v>949</v>
      </c>
      <c r="E49" s="3" t="s">
        <v>20</v>
      </c>
      <c r="F49" s="3">
        <v>36</v>
      </c>
      <c r="G49" s="3" t="s">
        <v>21</v>
      </c>
      <c r="H49" s="3">
        <v>1.77</v>
      </c>
      <c r="I49" s="3">
        <v>0.04</v>
      </c>
      <c r="J49" s="3">
        <v>0</v>
      </c>
      <c r="K49" s="3">
        <v>3.64</v>
      </c>
      <c r="L49" s="3">
        <v>63.72</v>
      </c>
      <c r="M49" s="3">
        <v>1.81</v>
      </c>
      <c r="N49" s="3">
        <v>65.16</v>
      </c>
      <c r="O49" s="3" t="s">
        <v>978</v>
      </c>
      <c r="P49" s="3">
        <v>252400</v>
      </c>
    </row>
    <row r="50" spans="1:16" s="3" customFormat="1" x14ac:dyDescent="0.25">
      <c r="A50" s="3" t="s">
        <v>16</v>
      </c>
      <c r="B50" s="3" t="s">
        <v>95</v>
      </c>
      <c r="C50" s="3" t="s">
        <v>934</v>
      </c>
      <c r="D50" s="3" t="s">
        <v>935</v>
      </c>
      <c r="E50" s="3" t="s">
        <v>30</v>
      </c>
      <c r="F50" s="3">
        <v>38.828000000000003</v>
      </c>
      <c r="G50" s="3" t="s">
        <v>21</v>
      </c>
      <c r="H50" s="3">
        <v>1.47</v>
      </c>
      <c r="I50" s="3">
        <v>0.04</v>
      </c>
      <c r="J50" s="3">
        <v>0</v>
      </c>
      <c r="K50" s="3">
        <v>3.15</v>
      </c>
      <c r="L50" s="3">
        <v>57.08</v>
      </c>
      <c r="M50" s="3">
        <v>1.51</v>
      </c>
      <c r="N50" s="3">
        <v>58.63</v>
      </c>
      <c r="O50" s="3" t="s">
        <v>979</v>
      </c>
      <c r="P50" s="3">
        <v>230826</v>
      </c>
    </row>
    <row r="51" spans="1:16" s="3" customFormat="1" x14ac:dyDescent="0.25">
      <c r="A51" s="3" t="s">
        <v>16</v>
      </c>
      <c r="B51" s="3" t="s">
        <v>95</v>
      </c>
      <c r="C51" s="3" t="s">
        <v>939</v>
      </c>
      <c r="D51" s="3" t="s">
        <v>940</v>
      </c>
      <c r="E51" s="3" t="s">
        <v>30</v>
      </c>
      <c r="F51" s="3">
        <v>26.013000000000002</v>
      </c>
      <c r="G51" s="3" t="s">
        <v>21</v>
      </c>
      <c r="H51" s="3">
        <v>1.47</v>
      </c>
      <c r="I51" s="3">
        <v>0.04</v>
      </c>
      <c r="J51" s="3">
        <v>0</v>
      </c>
      <c r="K51" s="3">
        <v>2.11</v>
      </c>
      <c r="L51" s="3">
        <v>38.24</v>
      </c>
      <c r="M51" s="3">
        <v>1.51</v>
      </c>
      <c r="N51" s="3">
        <v>39.28</v>
      </c>
      <c r="O51" s="3" t="s">
        <v>980</v>
      </c>
      <c r="P51" s="3">
        <v>323345</v>
      </c>
    </row>
    <row r="52" spans="1:16" s="3" customFormat="1" x14ac:dyDescent="0.25">
      <c r="A52" s="3" t="s">
        <v>16</v>
      </c>
      <c r="B52" s="3" t="s">
        <v>95</v>
      </c>
      <c r="C52" s="3" t="s">
        <v>944</v>
      </c>
      <c r="D52" s="3" t="s">
        <v>945</v>
      </c>
      <c r="E52" s="3" t="s">
        <v>30</v>
      </c>
      <c r="F52" s="3">
        <v>33</v>
      </c>
      <c r="G52" s="3" t="s">
        <v>21</v>
      </c>
      <c r="H52" s="3">
        <v>1.47</v>
      </c>
      <c r="I52" s="3">
        <v>0.04</v>
      </c>
      <c r="J52" s="3">
        <v>0</v>
      </c>
      <c r="K52" s="3">
        <v>2.67</v>
      </c>
      <c r="L52" s="3">
        <v>48.51</v>
      </c>
      <c r="M52" s="3">
        <v>1.51</v>
      </c>
      <c r="N52" s="3">
        <v>49.83</v>
      </c>
      <c r="O52" s="3" t="s">
        <v>981</v>
      </c>
      <c r="P52" s="3">
        <v>297060</v>
      </c>
    </row>
    <row r="53" spans="1:16" s="3" customFormat="1" x14ac:dyDescent="0.25">
      <c r="A53" s="3" t="s">
        <v>86</v>
      </c>
      <c r="B53" s="3" t="s">
        <v>95</v>
      </c>
      <c r="C53" s="3" t="s">
        <v>918</v>
      </c>
      <c r="D53" s="3" t="s">
        <v>919</v>
      </c>
      <c r="E53" s="3" t="s">
        <v>20</v>
      </c>
      <c r="F53" s="3">
        <v>47.779000000000003</v>
      </c>
      <c r="G53" s="3" t="s">
        <v>21</v>
      </c>
      <c r="H53" s="3">
        <v>1.77</v>
      </c>
      <c r="I53" s="3">
        <v>0.04</v>
      </c>
      <c r="J53" s="3">
        <v>0</v>
      </c>
      <c r="K53" s="3">
        <v>4.83</v>
      </c>
      <c r="L53" s="3">
        <v>84.57</v>
      </c>
      <c r="M53" s="3">
        <v>1.81</v>
      </c>
      <c r="N53" s="3">
        <v>86.48</v>
      </c>
      <c r="O53" s="3" t="s">
        <v>982</v>
      </c>
      <c r="P53" s="3">
        <v>38323</v>
      </c>
    </row>
    <row r="54" spans="1:16" s="3" customFormat="1" x14ac:dyDescent="0.25">
      <c r="A54" s="3" t="s">
        <v>86</v>
      </c>
      <c r="B54" s="3" t="s">
        <v>95</v>
      </c>
      <c r="C54" s="3" t="s">
        <v>983</v>
      </c>
      <c r="D54" s="3" t="s">
        <v>984</v>
      </c>
      <c r="E54" s="3" t="s">
        <v>30</v>
      </c>
      <c r="F54" s="3">
        <v>6</v>
      </c>
      <c r="G54" s="3" t="s">
        <v>21</v>
      </c>
      <c r="H54" s="3">
        <v>1.47</v>
      </c>
      <c r="I54" s="3">
        <v>0.04</v>
      </c>
      <c r="J54" s="3">
        <v>0</v>
      </c>
      <c r="K54" s="3">
        <v>0.49</v>
      </c>
      <c r="L54" s="3">
        <v>8.82</v>
      </c>
      <c r="M54" s="3">
        <v>1.51</v>
      </c>
      <c r="N54" s="3">
        <v>9.06</v>
      </c>
      <c r="O54" s="3" t="s">
        <v>284</v>
      </c>
      <c r="P54" s="3">
        <v>74360</v>
      </c>
    </row>
    <row r="55" spans="1:16" s="3" customFormat="1" x14ac:dyDescent="0.25">
      <c r="A55" s="3" t="s">
        <v>151</v>
      </c>
      <c r="B55" s="3" t="s">
        <v>95</v>
      </c>
      <c r="C55" s="3" t="s">
        <v>923</v>
      </c>
      <c r="D55" s="3" t="s">
        <v>924</v>
      </c>
      <c r="E55" s="3" t="s">
        <v>87</v>
      </c>
      <c r="F55" s="3">
        <v>44</v>
      </c>
      <c r="G55" s="3" t="s">
        <v>21</v>
      </c>
      <c r="H55" s="3">
        <v>1.71</v>
      </c>
      <c r="I55" s="3">
        <v>0.05</v>
      </c>
      <c r="J55" s="3">
        <v>0</v>
      </c>
      <c r="K55" s="3">
        <v>3.26</v>
      </c>
      <c r="L55" s="3">
        <v>75.239999999999995</v>
      </c>
      <c r="M55" s="3">
        <v>1.76</v>
      </c>
      <c r="N55" s="3">
        <v>77.44</v>
      </c>
      <c r="O55" s="3" t="s">
        <v>368</v>
      </c>
      <c r="P55" s="3">
        <v>178034</v>
      </c>
    </row>
    <row r="56" spans="1:16" s="3" customFormat="1" x14ac:dyDescent="0.25">
      <c r="A56" s="3" t="s">
        <v>151</v>
      </c>
      <c r="B56" s="3" t="s">
        <v>95</v>
      </c>
      <c r="C56" s="3" t="s">
        <v>953</v>
      </c>
      <c r="D56" s="3" t="s">
        <v>954</v>
      </c>
      <c r="E56" s="3" t="s">
        <v>30</v>
      </c>
      <c r="F56" s="3">
        <v>26.013000000000002</v>
      </c>
      <c r="G56" s="3" t="s">
        <v>21</v>
      </c>
      <c r="H56" s="3">
        <v>1.47</v>
      </c>
      <c r="I56" s="3">
        <v>0.04</v>
      </c>
      <c r="J56" s="3">
        <v>0</v>
      </c>
      <c r="K56" s="3">
        <v>2.11</v>
      </c>
      <c r="L56" s="3">
        <v>38.24</v>
      </c>
      <c r="M56" s="3">
        <v>1.51</v>
      </c>
      <c r="N56" s="3">
        <v>39.28</v>
      </c>
      <c r="O56" s="3" t="s">
        <v>985</v>
      </c>
      <c r="P56" s="3">
        <v>19385</v>
      </c>
    </row>
    <row r="57" spans="1:16" s="3" customFormat="1" x14ac:dyDescent="0.25">
      <c r="A57" s="3" t="s">
        <v>151</v>
      </c>
      <c r="B57" s="3" t="s">
        <v>95</v>
      </c>
      <c r="C57" s="3" t="s">
        <v>936</v>
      </c>
      <c r="D57" s="3" t="s">
        <v>937</v>
      </c>
      <c r="E57" s="3" t="s">
        <v>20</v>
      </c>
      <c r="F57" s="3">
        <v>57.761000000000003</v>
      </c>
      <c r="G57" s="3" t="s">
        <v>21</v>
      </c>
      <c r="H57" s="3">
        <v>1.76</v>
      </c>
      <c r="I57" s="3">
        <v>0.04</v>
      </c>
      <c r="J57" s="3">
        <v>0</v>
      </c>
      <c r="K57" s="3">
        <v>6.58</v>
      </c>
      <c r="L57" s="3">
        <v>101.66</v>
      </c>
      <c r="M57" s="3">
        <v>1.8</v>
      </c>
      <c r="N57" s="3">
        <v>103.97</v>
      </c>
      <c r="O57" s="3" t="s">
        <v>986</v>
      </c>
      <c r="P57" s="3">
        <v>0</v>
      </c>
    </row>
    <row r="58" spans="1:16" s="3" customFormat="1" x14ac:dyDescent="0.25">
      <c r="A58" s="3" t="s">
        <v>23</v>
      </c>
      <c r="B58" s="3" t="s">
        <v>95</v>
      </c>
      <c r="C58" s="3" t="s">
        <v>948</v>
      </c>
      <c r="D58" s="3" t="s">
        <v>949</v>
      </c>
      <c r="E58" s="3" t="s">
        <v>20</v>
      </c>
      <c r="F58" s="3">
        <v>23</v>
      </c>
      <c r="G58" s="3" t="s">
        <v>21</v>
      </c>
      <c r="H58" s="3">
        <v>1.76</v>
      </c>
      <c r="I58" s="3">
        <v>0.04</v>
      </c>
      <c r="J58" s="3">
        <v>0</v>
      </c>
      <c r="K58" s="3">
        <v>2.62</v>
      </c>
      <c r="L58" s="3">
        <v>40.479999999999997</v>
      </c>
      <c r="M58" s="3">
        <v>1.8</v>
      </c>
      <c r="N58" s="3">
        <v>41.4</v>
      </c>
      <c r="O58" s="3" t="s">
        <v>987</v>
      </c>
      <c r="P58" s="3">
        <v>252600</v>
      </c>
    </row>
    <row r="59" spans="1:16" s="3" customFormat="1" x14ac:dyDescent="0.25">
      <c r="A59" s="3" t="s">
        <v>23</v>
      </c>
      <c r="B59" s="3" t="s">
        <v>95</v>
      </c>
      <c r="C59" s="3" t="s">
        <v>925</v>
      </c>
      <c r="D59" s="3" t="s">
        <v>926</v>
      </c>
      <c r="E59" s="3" t="s">
        <v>20</v>
      </c>
      <c r="F59" s="3">
        <v>24</v>
      </c>
      <c r="G59" s="3" t="s">
        <v>21</v>
      </c>
      <c r="H59" s="3">
        <v>1.76</v>
      </c>
      <c r="I59" s="3">
        <v>0.04</v>
      </c>
      <c r="J59" s="3">
        <v>0</v>
      </c>
      <c r="K59" s="3">
        <v>2.74</v>
      </c>
      <c r="L59" s="3">
        <v>42.24</v>
      </c>
      <c r="M59" s="3">
        <v>1.8</v>
      </c>
      <c r="N59" s="3">
        <v>43.2</v>
      </c>
      <c r="O59" s="3" t="s">
        <v>255</v>
      </c>
      <c r="P59" s="3">
        <v>240430</v>
      </c>
    </row>
    <row r="60" spans="1:16" s="3" customFormat="1" x14ac:dyDescent="0.25">
      <c r="A60" s="3" t="s">
        <v>23</v>
      </c>
      <c r="B60" s="3" t="s">
        <v>95</v>
      </c>
      <c r="C60" s="3" t="s">
        <v>950</v>
      </c>
      <c r="D60" s="3" t="s">
        <v>951</v>
      </c>
      <c r="E60" s="3" t="s">
        <v>20</v>
      </c>
      <c r="F60" s="3">
        <v>49</v>
      </c>
      <c r="G60" s="3" t="s">
        <v>21</v>
      </c>
      <c r="H60" s="3">
        <v>1.76</v>
      </c>
      <c r="I60" s="3">
        <v>0.04</v>
      </c>
      <c r="J60" s="3">
        <v>0</v>
      </c>
      <c r="K60" s="3">
        <v>5.59</v>
      </c>
      <c r="L60" s="3">
        <v>86.24</v>
      </c>
      <c r="M60" s="3">
        <v>1.8</v>
      </c>
      <c r="N60" s="3">
        <v>88.2</v>
      </c>
      <c r="O60" s="3" t="s">
        <v>930</v>
      </c>
      <c r="P60" s="3">
        <v>0</v>
      </c>
    </row>
    <row r="61" spans="1:16" s="3" customFormat="1" x14ac:dyDescent="0.25">
      <c r="A61" s="3" t="s">
        <v>23</v>
      </c>
      <c r="B61" s="3" t="s">
        <v>95</v>
      </c>
      <c r="C61" s="3" t="s">
        <v>944</v>
      </c>
      <c r="D61" s="3" t="s">
        <v>945</v>
      </c>
      <c r="E61" s="3" t="s">
        <v>30</v>
      </c>
      <c r="F61" s="3">
        <v>18</v>
      </c>
      <c r="G61" s="3" t="s">
        <v>21</v>
      </c>
      <c r="H61" s="3">
        <v>1.47</v>
      </c>
      <c r="I61" s="3">
        <v>0.04</v>
      </c>
      <c r="J61" s="3">
        <v>0</v>
      </c>
      <c r="K61" s="3">
        <v>1.46</v>
      </c>
      <c r="L61" s="3">
        <v>26.46</v>
      </c>
      <c r="M61" s="3">
        <v>1.51</v>
      </c>
      <c r="N61" s="3">
        <v>27.18</v>
      </c>
      <c r="O61" s="3" t="s">
        <v>216</v>
      </c>
      <c r="P61" s="3">
        <v>297270</v>
      </c>
    </row>
    <row r="62" spans="1:16" s="3" customFormat="1" x14ac:dyDescent="0.25">
      <c r="A62" s="3" t="s">
        <v>23</v>
      </c>
      <c r="B62" s="3" t="s">
        <v>95</v>
      </c>
      <c r="C62" s="3" t="s">
        <v>939</v>
      </c>
      <c r="D62" s="3" t="s">
        <v>940</v>
      </c>
      <c r="E62" s="3" t="s">
        <v>30</v>
      </c>
      <c r="F62" s="3">
        <v>15.013</v>
      </c>
      <c r="G62" s="3" t="s">
        <v>21</v>
      </c>
      <c r="H62" s="3">
        <v>1.47</v>
      </c>
      <c r="I62" s="3">
        <v>0.04</v>
      </c>
      <c r="J62" s="3">
        <v>0</v>
      </c>
      <c r="K62" s="3">
        <v>1.22</v>
      </c>
      <c r="L62" s="3">
        <v>22.07</v>
      </c>
      <c r="M62" s="3">
        <v>1.51</v>
      </c>
      <c r="N62" s="3">
        <v>22.67</v>
      </c>
      <c r="O62" s="3" t="s">
        <v>752</v>
      </c>
      <c r="P62" s="3">
        <v>323545</v>
      </c>
    </row>
    <row r="63" spans="1:16" s="3" customFormat="1" x14ac:dyDescent="0.25">
      <c r="A63" s="3" t="s">
        <v>23</v>
      </c>
      <c r="B63" s="3" t="s">
        <v>95</v>
      </c>
      <c r="C63" s="3" t="s">
        <v>988</v>
      </c>
      <c r="D63" s="3" t="s">
        <v>989</v>
      </c>
      <c r="E63" s="3" t="s">
        <v>30</v>
      </c>
      <c r="F63" s="3">
        <v>20</v>
      </c>
      <c r="G63" s="3" t="s">
        <v>21</v>
      </c>
      <c r="H63" s="3">
        <v>1.47</v>
      </c>
      <c r="I63" s="3">
        <v>0.04</v>
      </c>
      <c r="J63" s="3">
        <v>0</v>
      </c>
      <c r="K63" s="3">
        <v>1.62</v>
      </c>
      <c r="L63" s="3">
        <v>29.4</v>
      </c>
      <c r="M63" s="3">
        <v>1.51</v>
      </c>
      <c r="N63" s="3">
        <v>30.2</v>
      </c>
      <c r="O63" s="3" t="s">
        <v>259</v>
      </c>
      <c r="P63" s="3">
        <v>9460</v>
      </c>
    </row>
    <row r="64" spans="1:16" s="3" customFormat="1" x14ac:dyDescent="0.25">
      <c r="A64" s="3" t="s">
        <v>23</v>
      </c>
      <c r="B64" s="3" t="s">
        <v>95</v>
      </c>
      <c r="C64" s="3" t="s">
        <v>968</v>
      </c>
      <c r="D64" s="3" t="s">
        <v>969</v>
      </c>
      <c r="E64" s="3" t="s">
        <v>20</v>
      </c>
      <c r="F64" s="3">
        <v>42</v>
      </c>
      <c r="G64" s="3" t="s">
        <v>21</v>
      </c>
      <c r="H64" s="3">
        <v>1.76</v>
      </c>
      <c r="I64" s="3">
        <v>0.04</v>
      </c>
      <c r="J64" s="3">
        <v>0</v>
      </c>
      <c r="K64" s="3">
        <v>4.79</v>
      </c>
      <c r="L64" s="3">
        <v>73.92</v>
      </c>
      <c r="M64" s="3">
        <v>1.8</v>
      </c>
      <c r="N64" s="3">
        <v>75.599999999999994</v>
      </c>
      <c r="O64" s="3" t="s">
        <v>544</v>
      </c>
      <c r="P64" s="3">
        <v>283063</v>
      </c>
    </row>
    <row r="65" spans="1:16" s="3" customFormat="1" x14ac:dyDescent="0.25">
      <c r="A65" s="3" t="s">
        <v>23</v>
      </c>
      <c r="B65" s="3" t="s">
        <v>95</v>
      </c>
      <c r="C65" s="3" t="s">
        <v>955</v>
      </c>
      <c r="D65" s="3" t="s">
        <v>956</v>
      </c>
      <c r="E65" s="3" t="s">
        <v>20</v>
      </c>
      <c r="F65" s="3">
        <v>48.360999999999898</v>
      </c>
      <c r="G65" s="3" t="s">
        <v>21</v>
      </c>
      <c r="H65" s="3">
        <v>1.76</v>
      </c>
      <c r="I65" s="3">
        <v>0.04</v>
      </c>
      <c r="J65" s="3">
        <v>0</v>
      </c>
      <c r="K65" s="3">
        <v>5.51</v>
      </c>
      <c r="L65" s="3">
        <v>85.12</v>
      </c>
      <c r="M65" s="3">
        <v>1.8</v>
      </c>
      <c r="N65" s="3">
        <v>87.05</v>
      </c>
      <c r="O65" s="3" t="s">
        <v>509</v>
      </c>
      <c r="P65" s="3">
        <v>286250</v>
      </c>
    </row>
    <row r="66" spans="1:16" s="3" customFormat="1" x14ac:dyDescent="0.25">
      <c r="A66" s="3" t="s">
        <v>23</v>
      </c>
      <c r="B66" s="3" t="s">
        <v>95</v>
      </c>
      <c r="C66" s="3" t="s">
        <v>936</v>
      </c>
      <c r="D66" s="3" t="s">
        <v>937</v>
      </c>
      <c r="E66" s="3" t="s">
        <v>20</v>
      </c>
      <c r="F66" s="3">
        <v>12.9</v>
      </c>
      <c r="G66" s="3" t="s">
        <v>21</v>
      </c>
      <c r="H66" s="3">
        <v>1.76</v>
      </c>
      <c r="I66" s="3">
        <v>0.04</v>
      </c>
      <c r="J66" s="3">
        <v>0</v>
      </c>
      <c r="K66" s="3">
        <v>1.47</v>
      </c>
      <c r="L66" s="3">
        <v>22.7</v>
      </c>
      <c r="M66" s="3">
        <v>1.8</v>
      </c>
      <c r="N66" s="3">
        <v>23.22</v>
      </c>
      <c r="O66" s="3" t="s">
        <v>990</v>
      </c>
      <c r="P66" s="3">
        <v>0</v>
      </c>
    </row>
    <row r="67" spans="1:16" s="3" customFormat="1" x14ac:dyDescent="0.25">
      <c r="A67" s="3" t="s">
        <v>23</v>
      </c>
      <c r="B67" s="3" t="s">
        <v>95</v>
      </c>
      <c r="C67" s="3" t="s">
        <v>972</v>
      </c>
      <c r="D67" s="3" t="s">
        <v>973</v>
      </c>
      <c r="E67" s="3" t="s">
        <v>20</v>
      </c>
      <c r="F67" s="3">
        <v>14.0329999999999</v>
      </c>
      <c r="G67" s="3" t="s">
        <v>21</v>
      </c>
      <c r="H67" s="3">
        <v>1.76</v>
      </c>
      <c r="I67" s="3">
        <v>0.04</v>
      </c>
      <c r="J67" s="3">
        <v>0</v>
      </c>
      <c r="K67" s="3">
        <v>1.6</v>
      </c>
      <c r="L67" s="3">
        <v>24.7</v>
      </c>
      <c r="M67" s="3">
        <v>1.8</v>
      </c>
      <c r="N67" s="3">
        <v>25.26</v>
      </c>
      <c r="O67" s="3" t="s">
        <v>943</v>
      </c>
      <c r="P67" s="3">
        <v>233788</v>
      </c>
    </row>
    <row r="68" spans="1:16" s="3" customFormat="1" x14ac:dyDescent="0.25">
      <c r="A68" s="3" t="s">
        <v>23</v>
      </c>
      <c r="B68" s="3" t="s">
        <v>95</v>
      </c>
      <c r="C68" s="3" t="s">
        <v>915</v>
      </c>
      <c r="D68" s="3" t="s">
        <v>916</v>
      </c>
      <c r="E68" s="3" t="s">
        <v>20</v>
      </c>
      <c r="F68" s="3">
        <v>46.261000000000003</v>
      </c>
      <c r="G68" s="3" t="s">
        <v>21</v>
      </c>
      <c r="H68" s="3">
        <v>1.76</v>
      </c>
      <c r="I68" s="3">
        <v>0.04</v>
      </c>
      <c r="J68" s="3">
        <v>0</v>
      </c>
      <c r="K68" s="3">
        <v>5.27</v>
      </c>
      <c r="L68" s="3">
        <v>81.42</v>
      </c>
      <c r="M68" s="3">
        <v>1.8</v>
      </c>
      <c r="N68" s="3">
        <v>83.27</v>
      </c>
      <c r="O68" s="3" t="s">
        <v>991</v>
      </c>
      <c r="P68" s="3">
        <v>0</v>
      </c>
    </row>
    <row r="69" spans="1:16" s="3" customFormat="1" x14ac:dyDescent="0.25">
      <c r="A69" s="3" t="s">
        <v>23</v>
      </c>
      <c r="B69" s="3" t="s">
        <v>95</v>
      </c>
      <c r="C69" s="3" t="s">
        <v>928</v>
      </c>
      <c r="D69" s="3" t="s">
        <v>929</v>
      </c>
      <c r="E69" s="3" t="s">
        <v>20</v>
      </c>
      <c r="F69" s="3">
        <v>52</v>
      </c>
      <c r="G69" s="3" t="s">
        <v>21</v>
      </c>
      <c r="H69" s="3">
        <v>1.76</v>
      </c>
      <c r="I69" s="3">
        <v>0.04</v>
      </c>
      <c r="J69" s="3">
        <v>0</v>
      </c>
      <c r="K69" s="3">
        <v>5.93</v>
      </c>
      <c r="L69" s="3">
        <v>91.52</v>
      </c>
      <c r="M69" s="3">
        <v>1.8</v>
      </c>
      <c r="N69" s="3">
        <v>93.6</v>
      </c>
      <c r="O69" s="3" t="s">
        <v>958</v>
      </c>
      <c r="P69" s="3">
        <v>24079</v>
      </c>
    </row>
    <row r="70" spans="1:16" s="3" customFormat="1" x14ac:dyDescent="0.25">
      <c r="A70" s="3" t="s">
        <v>23</v>
      </c>
      <c r="B70" s="3" t="s">
        <v>95</v>
      </c>
      <c r="C70" s="3" t="s">
        <v>907</v>
      </c>
      <c r="D70" s="3" t="s">
        <v>908</v>
      </c>
      <c r="E70" s="3" t="s">
        <v>20</v>
      </c>
      <c r="F70" s="3">
        <v>45.139000000000003</v>
      </c>
      <c r="G70" s="3" t="s">
        <v>21</v>
      </c>
      <c r="H70" s="3">
        <v>1.76</v>
      </c>
      <c r="I70" s="3">
        <v>0.04</v>
      </c>
      <c r="J70" s="3">
        <v>0</v>
      </c>
      <c r="K70" s="3">
        <v>5.15</v>
      </c>
      <c r="L70" s="3">
        <v>79.44</v>
      </c>
      <c r="M70" s="3">
        <v>1.8</v>
      </c>
      <c r="N70" s="3">
        <v>81.25</v>
      </c>
      <c r="O70" s="3" t="s">
        <v>979</v>
      </c>
      <c r="P70" s="3">
        <v>280167</v>
      </c>
    </row>
    <row r="71" spans="1:16" s="3" customFormat="1" x14ac:dyDescent="0.25">
      <c r="A71" s="3" t="s">
        <v>23</v>
      </c>
      <c r="B71" s="3" t="s">
        <v>95</v>
      </c>
      <c r="C71" s="3" t="s">
        <v>918</v>
      </c>
      <c r="D71" s="3" t="s">
        <v>919</v>
      </c>
      <c r="E71" s="3" t="s">
        <v>20</v>
      </c>
      <c r="F71" s="3">
        <v>21.021999999999899</v>
      </c>
      <c r="G71" s="3" t="s">
        <v>21</v>
      </c>
      <c r="H71" s="3">
        <v>1.76</v>
      </c>
      <c r="I71" s="3">
        <v>0.04</v>
      </c>
      <c r="J71" s="3">
        <v>0</v>
      </c>
      <c r="K71" s="3">
        <v>2.4</v>
      </c>
      <c r="L71" s="3">
        <v>37</v>
      </c>
      <c r="M71" s="3">
        <v>1.8</v>
      </c>
      <c r="N71" s="3">
        <v>37.840000000000003</v>
      </c>
      <c r="O71" s="3" t="s">
        <v>123</v>
      </c>
      <c r="P71" s="3">
        <v>38565</v>
      </c>
    </row>
    <row r="72" spans="1:16" s="3" customFormat="1" x14ac:dyDescent="0.25">
      <c r="A72" s="3" t="s">
        <v>23</v>
      </c>
      <c r="B72" s="3" t="s">
        <v>95</v>
      </c>
      <c r="C72" s="3" t="s">
        <v>910</v>
      </c>
      <c r="D72" s="3" t="s">
        <v>911</v>
      </c>
      <c r="E72" s="3" t="s">
        <v>20</v>
      </c>
      <c r="F72" s="3">
        <v>34</v>
      </c>
      <c r="G72" s="3" t="s">
        <v>21</v>
      </c>
      <c r="H72" s="3">
        <v>1.76</v>
      </c>
      <c r="I72" s="3">
        <v>0.04</v>
      </c>
      <c r="J72" s="3">
        <v>0</v>
      </c>
      <c r="K72" s="3">
        <v>3.88</v>
      </c>
      <c r="L72" s="3">
        <v>59.84</v>
      </c>
      <c r="M72" s="3">
        <v>1.8</v>
      </c>
      <c r="N72" s="3">
        <v>61.2</v>
      </c>
      <c r="O72" s="3" t="s">
        <v>176</v>
      </c>
      <c r="P72" s="3">
        <v>258573</v>
      </c>
    </row>
    <row r="75" spans="1:16" x14ac:dyDescent="0.25">
      <c r="F75">
        <f>SUM(F2:F74)</f>
        <v>2450.2969999999987</v>
      </c>
      <c r="L75" s="1">
        <f>SUM(L2:L74)</f>
        <v>4118.6192799999981</v>
      </c>
    </row>
  </sheetData>
  <autoFilter ref="D1:D72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P7"/>
  <sheetViews>
    <sheetView workbookViewId="0">
      <selection activeCell="D32" sqref="D32"/>
    </sheetView>
  </sheetViews>
  <sheetFormatPr defaultRowHeight="15" x14ac:dyDescent="0.25"/>
  <cols>
    <col min="1" max="1" width="10.42578125" bestFit="1" customWidth="1"/>
    <col min="2" max="2" width="25.7109375" bestFit="1" customWidth="1"/>
    <col min="3" max="3" width="8.42578125" bestFit="1" customWidth="1"/>
    <col min="4" max="4" width="18.28515625" bestFit="1" customWidth="1"/>
    <col min="5" max="5" width="22.8554687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5">
      <c r="A2" s="3" t="s">
        <v>23</v>
      </c>
      <c r="B2" s="3" t="s">
        <v>496</v>
      </c>
      <c r="C2" s="3" t="s">
        <v>992</v>
      </c>
      <c r="D2" s="3" t="s">
        <v>993</v>
      </c>
      <c r="E2" s="3" t="s">
        <v>30</v>
      </c>
      <c r="F2" s="3">
        <v>27.158999999999899</v>
      </c>
      <c r="G2" s="3" t="s">
        <v>21</v>
      </c>
      <c r="H2" s="3">
        <v>1.48</v>
      </c>
      <c r="I2" s="3">
        <v>0.03</v>
      </c>
      <c r="J2" s="3">
        <v>0</v>
      </c>
      <c r="K2" s="3">
        <v>2.4700000000000002</v>
      </c>
      <c r="L2" s="3">
        <v>40.200000000000003</v>
      </c>
      <c r="M2" s="3">
        <v>1.51</v>
      </c>
      <c r="N2" s="3">
        <v>41.01</v>
      </c>
      <c r="O2" s="3" t="s">
        <v>994</v>
      </c>
      <c r="P2" s="3">
        <v>0</v>
      </c>
    </row>
    <row r="3" spans="1:16" s="3" customFormat="1" x14ac:dyDescent="0.25">
      <c r="A3" s="3" t="s">
        <v>23</v>
      </c>
      <c r="B3" s="3" t="s">
        <v>103</v>
      </c>
      <c r="C3" s="3" t="s">
        <v>995</v>
      </c>
      <c r="D3" s="3" t="s">
        <v>996</v>
      </c>
      <c r="E3" s="3" t="s">
        <v>30</v>
      </c>
      <c r="F3" s="3">
        <v>35.390999999999899</v>
      </c>
      <c r="G3" s="3" t="s">
        <v>21</v>
      </c>
      <c r="H3" s="3">
        <v>1.48</v>
      </c>
      <c r="I3" s="3">
        <v>0.03</v>
      </c>
      <c r="J3" s="3">
        <v>0</v>
      </c>
      <c r="K3" s="3">
        <v>3.22</v>
      </c>
      <c r="L3" s="3">
        <v>52.38</v>
      </c>
      <c r="M3" s="3">
        <v>1.51</v>
      </c>
      <c r="N3" s="3">
        <v>53.44</v>
      </c>
      <c r="O3" s="3" t="s">
        <v>997</v>
      </c>
      <c r="P3" s="3">
        <v>0</v>
      </c>
    </row>
    <row r="4" spans="1:16" s="3" customFormat="1" x14ac:dyDescent="0.25">
      <c r="A4" s="3" t="s">
        <v>23</v>
      </c>
      <c r="B4" s="3" t="s">
        <v>103</v>
      </c>
      <c r="C4" s="3" t="s">
        <v>998</v>
      </c>
      <c r="D4" s="3" t="s">
        <v>999</v>
      </c>
      <c r="E4" s="3" t="s">
        <v>30</v>
      </c>
      <c r="F4" s="3">
        <v>16</v>
      </c>
      <c r="G4" s="3" t="s">
        <v>21</v>
      </c>
      <c r="H4" s="3">
        <v>1.48</v>
      </c>
      <c r="I4" s="3">
        <v>0.03</v>
      </c>
      <c r="J4" s="3">
        <v>0</v>
      </c>
      <c r="K4" s="3">
        <v>1.46</v>
      </c>
      <c r="L4" s="3">
        <v>23.68</v>
      </c>
      <c r="M4" s="3">
        <v>1.51</v>
      </c>
      <c r="N4" s="3">
        <v>24.16</v>
      </c>
      <c r="O4" s="3" t="s">
        <v>108</v>
      </c>
      <c r="P4" s="3">
        <v>0</v>
      </c>
    </row>
    <row r="7" spans="1:16" x14ac:dyDescent="0.25">
      <c r="F7" s="5">
        <f>SUM(F2:F6)</f>
        <v>78.549999999999798</v>
      </c>
      <c r="L7">
        <f>SUM(L2:L6)</f>
        <v>116.26000000000002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P13"/>
  <sheetViews>
    <sheetView workbookViewId="0">
      <selection activeCell="E34" sqref="E34"/>
    </sheetView>
  </sheetViews>
  <sheetFormatPr defaultRowHeight="15" x14ac:dyDescent="0.25"/>
  <cols>
    <col min="1" max="1" width="10.42578125" bestFit="1" customWidth="1"/>
    <col min="2" max="2" width="25.7109375" bestFit="1" customWidth="1"/>
    <col min="3" max="3" width="9" bestFit="1" customWidth="1"/>
    <col min="4" max="4" width="18.28515625" bestFit="1" customWidth="1"/>
    <col min="5" max="5" width="16.4257812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5">
      <c r="A2" s="3" t="s">
        <v>86</v>
      </c>
      <c r="B2" s="3" t="s">
        <v>24</v>
      </c>
      <c r="C2" s="3" t="s">
        <v>1000</v>
      </c>
      <c r="D2" s="3" t="s">
        <v>1001</v>
      </c>
      <c r="E2" s="3" t="s">
        <v>20</v>
      </c>
      <c r="F2" s="3">
        <v>57.988999999999898</v>
      </c>
      <c r="G2" s="3" t="s">
        <v>21</v>
      </c>
      <c r="H2" s="3">
        <v>1.78</v>
      </c>
      <c r="I2" s="3">
        <v>0.03</v>
      </c>
      <c r="J2" s="3">
        <v>0</v>
      </c>
      <c r="K2" s="3">
        <v>6.44</v>
      </c>
      <c r="L2" s="3">
        <v>103.22</v>
      </c>
      <c r="M2" s="3">
        <v>1.81</v>
      </c>
      <c r="N2" s="3">
        <v>104.96</v>
      </c>
      <c r="O2" s="3" t="s">
        <v>1002</v>
      </c>
      <c r="P2" s="3">
        <v>187713</v>
      </c>
    </row>
    <row r="3" spans="1:16" s="3" customFormat="1" x14ac:dyDescent="0.25">
      <c r="A3" s="3" t="s">
        <v>86</v>
      </c>
      <c r="B3" s="3" t="s">
        <v>103</v>
      </c>
      <c r="C3" s="3" t="s">
        <v>1003</v>
      </c>
      <c r="D3" s="3" t="s">
        <v>1004</v>
      </c>
      <c r="E3" s="3" t="s">
        <v>20</v>
      </c>
      <c r="F3" s="3">
        <v>50.811999999999898</v>
      </c>
      <c r="G3" s="3" t="s">
        <v>21</v>
      </c>
      <c r="H3" s="3">
        <v>1.78</v>
      </c>
      <c r="I3" s="3">
        <v>0.03</v>
      </c>
      <c r="J3" s="3">
        <v>0</v>
      </c>
      <c r="K3" s="3">
        <v>5.64</v>
      </c>
      <c r="L3" s="3">
        <v>90.45</v>
      </c>
      <c r="M3" s="3">
        <v>1.81</v>
      </c>
      <c r="N3" s="3">
        <v>91.97</v>
      </c>
      <c r="O3" s="3" t="s">
        <v>541</v>
      </c>
      <c r="P3" s="3">
        <v>276420</v>
      </c>
    </row>
    <row r="4" spans="1:16" s="3" customFormat="1" x14ac:dyDescent="0.25">
      <c r="A4" s="3" t="s">
        <v>86</v>
      </c>
      <c r="B4" s="3" t="s">
        <v>103</v>
      </c>
      <c r="C4" s="3" t="s">
        <v>1005</v>
      </c>
      <c r="D4" s="3" t="s">
        <v>1006</v>
      </c>
      <c r="E4" s="3" t="s">
        <v>20</v>
      </c>
      <c r="F4" s="3">
        <v>54.508000000000003</v>
      </c>
      <c r="G4" s="3" t="s">
        <v>21</v>
      </c>
      <c r="H4" s="3">
        <v>1.78</v>
      </c>
      <c r="I4" s="3">
        <v>0.03</v>
      </c>
      <c r="J4" s="3">
        <v>0</v>
      </c>
      <c r="K4" s="3">
        <v>6.05</v>
      </c>
      <c r="L4" s="3">
        <v>97.02</v>
      </c>
      <c r="M4" s="3">
        <v>1.81</v>
      </c>
      <c r="N4" s="3">
        <v>98.66</v>
      </c>
      <c r="O4" s="3" t="s">
        <v>974</v>
      </c>
      <c r="P4" s="3">
        <v>101070</v>
      </c>
    </row>
    <row r="5" spans="1:16" s="3" customFormat="1" x14ac:dyDescent="0.25">
      <c r="A5" s="3" t="s">
        <v>23</v>
      </c>
      <c r="B5" s="3" t="s">
        <v>103</v>
      </c>
      <c r="C5" s="3" t="s">
        <v>1007</v>
      </c>
      <c r="D5" s="3" t="s">
        <v>1008</v>
      </c>
      <c r="E5" s="3" t="s">
        <v>20</v>
      </c>
      <c r="F5" s="3">
        <v>68</v>
      </c>
      <c r="G5" s="3" t="s">
        <v>21</v>
      </c>
      <c r="H5" s="3">
        <v>1.77</v>
      </c>
      <c r="I5" s="3">
        <v>0.03</v>
      </c>
      <c r="J5" s="3">
        <v>0</v>
      </c>
      <c r="K5" s="3">
        <v>8.43</v>
      </c>
      <c r="L5" s="3">
        <v>120.36</v>
      </c>
      <c r="M5" s="3">
        <v>1.8</v>
      </c>
      <c r="N5" s="3">
        <v>122.4</v>
      </c>
      <c r="O5" s="3" t="s">
        <v>822</v>
      </c>
      <c r="P5" s="3">
        <v>200600</v>
      </c>
    </row>
    <row r="6" spans="1:16" s="3" customFormat="1" x14ac:dyDescent="0.25">
      <c r="A6" s="3" t="s">
        <v>23</v>
      </c>
      <c r="B6" s="3" t="s">
        <v>103</v>
      </c>
      <c r="C6" s="3" t="s">
        <v>1009</v>
      </c>
      <c r="D6" s="3" t="s">
        <v>1010</v>
      </c>
      <c r="E6" s="3" t="s">
        <v>20</v>
      </c>
      <c r="F6" s="3">
        <v>67.010999999999896</v>
      </c>
      <c r="G6" s="3" t="s">
        <v>21</v>
      </c>
      <c r="H6" s="3">
        <v>1.77</v>
      </c>
      <c r="I6" s="3">
        <v>0.03</v>
      </c>
      <c r="J6" s="3">
        <v>0</v>
      </c>
      <c r="K6" s="3">
        <v>8.31</v>
      </c>
      <c r="L6" s="3">
        <v>118.61</v>
      </c>
      <c r="M6" s="3">
        <v>1.8</v>
      </c>
      <c r="N6" s="3">
        <v>120.62</v>
      </c>
      <c r="O6" s="3" t="s">
        <v>144</v>
      </c>
      <c r="P6" s="3">
        <v>95521</v>
      </c>
    </row>
    <row r="7" spans="1:16" s="3" customFormat="1" x14ac:dyDescent="0.25">
      <c r="A7" s="3" t="s">
        <v>23</v>
      </c>
      <c r="B7" s="3" t="s">
        <v>103</v>
      </c>
      <c r="C7" s="3" t="s">
        <v>1011</v>
      </c>
      <c r="D7" s="3" t="s">
        <v>1012</v>
      </c>
      <c r="E7" s="3" t="s">
        <v>20</v>
      </c>
      <c r="F7" s="3">
        <v>60.838999999999899</v>
      </c>
      <c r="G7" s="3" t="s">
        <v>21</v>
      </c>
      <c r="H7" s="3">
        <v>1.77</v>
      </c>
      <c r="I7" s="3">
        <v>0.03</v>
      </c>
      <c r="J7" s="3">
        <v>0</v>
      </c>
      <c r="K7" s="3">
        <v>7.54</v>
      </c>
      <c r="L7" s="3">
        <v>107.69</v>
      </c>
      <c r="M7" s="3">
        <v>1.8</v>
      </c>
      <c r="N7" s="3">
        <v>109.51</v>
      </c>
      <c r="O7" s="3" t="s">
        <v>636</v>
      </c>
      <c r="P7" s="3">
        <v>296338</v>
      </c>
    </row>
    <row r="8" spans="1:16" s="3" customFormat="1" x14ac:dyDescent="0.25">
      <c r="A8" s="3" t="s">
        <v>23</v>
      </c>
      <c r="B8" s="3" t="s">
        <v>103</v>
      </c>
      <c r="C8" s="3" t="s">
        <v>1000</v>
      </c>
      <c r="D8" s="3" t="s">
        <v>1001</v>
      </c>
      <c r="E8" s="3" t="s">
        <v>20</v>
      </c>
      <c r="F8" s="3">
        <v>18.521999999999899</v>
      </c>
      <c r="G8" s="3" t="s">
        <v>21</v>
      </c>
      <c r="H8" s="3">
        <v>1.77</v>
      </c>
      <c r="I8" s="3">
        <v>0.03</v>
      </c>
      <c r="J8" s="3">
        <v>0</v>
      </c>
      <c r="K8" s="3">
        <v>2.2999999999999998</v>
      </c>
      <c r="L8" s="3">
        <v>32.78</v>
      </c>
      <c r="M8" s="3">
        <v>1.8</v>
      </c>
      <c r="N8" s="3">
        <v>33.340000000000003</v>
      </c>
      <c r="O8" s="3" t="s">
        <v>1013</v>
      </c>
      <c r="P8" s="3">
        <v>187914</v>
      </c>
    </row>
    <row r="9" spans="1:16" s="3" customFormat="1" x14ac:dyDescent="0.25">
      <c r="A9" s="3" t="s">
        <v>23</v>
      </c>
      <c r="B9" s="3" t="s">
        <v>103</v>
      </c>
      <c r="C9" s="3" t="s">
        <v>1005</v>
      </c>
      <c r="D9" s="3" t="s">
        <v>1006</v>
      </c>
      <c r="E9" s="3" t="s">
        <v>20</v>
      </c>
      <c r="F9" s="3">
        <v>18.678000000000001</v>
      </c>
      <c r="G9" s="3" t="s">
        <v>21</v>
      </c>
      <c r="H9" s="3">
        <v>1.77</v>
      </c>
      <c r="I9" s="3">
        <v>0.03</v>
      </c>
      <c r="J9" s="3">
        <v>0</v>
      </c>
      <c r="K9" s="3">
        <v>2.3199999999999998</v>
      </c>
      <c r="L9" s="3">
        <v>33.06</v>
      </c>
      <c r="M9" s="3">
        <v>1.8</v>
      </c>
      <c r="N9" s="3">
        <v>33.619999999999997</v>
      </c>
      <c r="O9" s="3" t="s">
        <v>1014</v>
      </c>
      <c r="P9" s="3">
        <v>101282</v>
      </c>
    </row>
    <row r="13" spans="1:16" x14ac:dyDescent="0.25">
      <c r="F13">
        <f>SUM(F2:F12)</f>
        <v>396.35899999999947</v>
      </c>
      <c r="L13">
        <f>SUM(L2:L12)</f>
        <v>703.18999999999983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P12"/>
  <sheetViews>
    <sheetView workbookViewId="0">
      <selection activeCell="F6" sqref="F6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9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5">
      <c r="A2" s="3" t="s">
        <v>83</v>
      </c>
      <c r="B2" s="3" t="s">
        <v>32</v>
      </c>
      <c r="C2" s="3" t="s">
        <v>1015</v>
      </c>
      <c r="D2" s="3" t="s">
        <v>1016</v>
      </c>
      <c r="E2" s="3" t="s">
        <v>20</v>
      </c>
      <c r="F2" s="3">
        <v>80.010999999999896</v>
      </c>
      <c r="G2" s="3" t="s">
        <v>21</v>
      </c>
      <c r="H2" s="3">
        <v>1.78</v>
      </c>
      <c r="I2" s="3">
        <v>0.03</v>
      </c>
      <c r="J2" s="3">
        <v>0</v>
      </c>
      <c r="K2" s="3">
        <v>8.8800000000000008</v>
      </c>
      <c r="L2" s="3">
        <v>142.41999999999999</v>
      </c>
      <c r="M2" s="3">
        <v>1.81</v>
      </c>
      <c r="N2" s="3">
        <v>144.82</v>
      </c>
      <c r="O2" s="3" t="s">
        <v>909</v>
      </c>
      <c r="P2" s="3">
        <v>144050</v>
      </c>
    </row>
    <row r="3" spans="1:16" s="3" customFormat="1" x14ac:dyDescent="0.25">
      <c r="A3" s="3" t="s">
        <v>371</v>
      </c>
      <c r="B3" s="3" t="s">
        <v>32</v>
      </c>
      <c r="C3" s="3" t="s">
        <v>1017</v>
      </c>
      <c r="D3" s="3" t="s">
        <v>1018</v>
      </c>
      <c r="E3" s="3" t="s">
        <v>20</v>
      </c>
      <c r="F3" s="3">
        <v>84.138000000000005</v>
      </c>
      <c r="G3" s="3" t="s">
        <v>21</v>
      </c>
      <c r="H3" s="3">
        <v>1.78</v>
      </c>
      <c r="I3" s="3">
        <v>0.03</v>
      </c>
      <c r="J3" s="3">
        <v>0</v>
      </c>
      <c r="K3" s="3">
        <v>9.34</v>
      </c>
      <c r="L3" s="3">
        <v>149.77000000000001</v>
      </c>
      <c r="M3" s="3">
        <v>1.81</v>
      </c>
      <c r="N3" s="3">
        <v>152.29</v>
      </c>
      <c r="O3" s="3" t="s">
        <v>927</v>
      </c>
      <c r="P3" s="3">
        <v>128450</v>
      </c>
    </row>
    <row r="4" spans="1:16" s="3" customFormat="1" x14ac:dyDescent="0.25">
      <c r="A4" s="3" t="s">
        <v>16</v>
      </c>
      <c r="B4" s="3" t="s">
        <v>32</v>
      </c>
      <c r="C4" s="3" t="s">
        <v>1019</v>
      </c>
      <c r="D4" s="3" t="s">
        <v>1020</v>
      </c>
      <c r="E4" s="3" t="s">
        <v>30</v>
      </c>
      <c r="F4" s="3">
        <v>55</v>
      </c>
      <c r="G4" s="3" t="s">
        <v>21</v>
      </c>
      <c r="H4" s="3">
        <v>1.48</v>
      </c>
      <c r="I4" s="3">
        <v>0.03</v>
      </c>
      <c r="J4" s="3">
        <v>0</v>
      </c>
      <c r="K4" s="3">
        <v>5</v>
      </c>
      <c r="L4" s="3">
        <v>81.400000000000006</v>
      </c>
      <c r="M4" s="3">
        <v>1.51</v>
      </c>
      <c r="N4" s="3">
        <v>83.05</v>
      </c>
      <c r="O4" s="3" t="s">
        <v>1021</v>
      </c>
      <c r="P4" s="3">
        <v>174886</v>
      </c>
    </row>
    <row r="5" spans="1:16" s="3" customFormat="1" x14ac:dyDescent="0.25">
      <c r="A5" s="3" t="s">
        <v>16</v>
      </c>
      <c r="B5" s="3" t="s">
        <v>32</v>
      </c>
      <c r="C5" s="3" t="s">
        <v>1022</v>
      </c>
      <c r="D5" s="3" t="s">
        <v>1023</v>
      </c>
      <c r="E5" s="3" t="s">
        <v>20</v>
      </c>
      <c r="F5" s="3">
        <v>107.149</v>
      </c>
      <c r="G5" s="3" t="s">
        <v>21</v>
      </c>
      <c r="H5" s="3">
        <v>1.78</v>
      </c>
      <c r="I5" s="3">
        <v>0.03</v>
      </c>
      <c r="J5" s="3">
        <v>0</v>
      </c>
      <c r="K5" s="3">
        <v>11.89</v>
      </c>
      <c r="L5" s="3">
        <v>190.73</v>
      </c>
      <c r="M5" s="3">
        <v>1.81</v>
      </c>
      <c r="N5" s="3">
        <v>193.94</v>
      </c>
      <c r="O5" s="3" t="s">
        <v>642</v>
      </c>
      <c r="P5" s="3">
        <v>312752</v>
      </c>
    </row>
    <row r="6" spans="1:16" s="3" customFormat="1" x14ac:dyDescent="0.25">
      <c r="A6" s="3" t="s">
        <v>151</v>
      </c>
      <c r="B6" s="3" t="s">
        <v>32</v>
      </c>
      <c r="C6" s="3" t="s">
        <v>1024</v>
      </c>
      <c r="D6" s="3" t="s">
        <v>1025</v>
      </c>
      <c r="E6" s="3" t="s">
        <v>30</v>
      </c>
      <c r="F6" s="3">
        <v>30.4499999999999</v>
      </c>
      <c r="G6" s="3" t="s">
        <v>21</v>
      </c>
      <c r="H6" s="3">
        <v>1.48</v>
      </c>
      <c r="I6" s="3">
        <v>0.03</v>
      </c>
      <c r="J6" s="3">
        <v>0</v>
      </c>
      <c r="K6" s="3">
        <v>2.77</v>
      </c>
      <c r="L6" s="3">
        <v>45.07</v>
      </c>
      <c r="M6" s="3">
        <v>1.51</v>
      </c>
      <c r="N6" s="3">
        <v>45.98</v>
      </c>
      <c r="O6" s="3" t="s">
        <v>500</v>
      </c>
      <c r="P6" s="3">
        <v>30</v>
      </c>
    </row>
    <row r="7" spans="1:16" s="3" customFormat="1" x14ac:dyDescent="0.25">
      <c r="A7" s="3" t="s">
        <v>23</v>
      </c>
      <c r="B7" s="3" t="s">
        <v>32</v>
      </c>
      <c r="C7" s="3" t="s">
        <v>1017</v>
      </c>
      <c r="D7" s="3" t="s">
        <v>1018</v>
      </c>
      <c r="E7" s="3" t="s">
        <v>20</v>
      </c>
      <c r="F7" s="3">
        <v>115</v>
      </c>
      <c r="G7" s="3" t="s">
        <v>21</v>
      </c>
      <c r="H7" s="3">
        <v>1.77</v>
      </c>
      <c r="I7" s="3">
        <v>0.03</v>
      </c>
      <c r="J7" s="3">
        <v>0</v>
      </c>
      <c r="K7" s="3">
        <v>14.26</v>
      </c>
      <c r="L7" s="3">
        <v>203.55</v>
      </c>
      <c r="M7" s="3">
        <v>1.8</v>
      </c>
      <c r="N7" s="3">
        <v>207</v>
      </c>
      <c r="O7" s="3" t="s">
        <v>1026</v>
      </c>
      <c r="P7" s="3">
        <v>128828</v>
      </c>
    </row>
    <row r="8" spans="1:16" s="3" customFormat="1" x14ac:dyDescent="0.25">
      <c r="A8" s="3" t="s">
        <v>23</v>
      </c>
      <c r="B8" s="3" t="s">
        <v>32</v>
      </c>
      <c r="C8" s="3" t="s">
        <v>1027</v>
      </c>
      <c r="D8" s="3" t="s">
        <v>1028</v>
      </c>
      <c r="E8" s="3" t="s">
        <v>20</v>
      </c>
      <c r="F8" s="3">
        <v>96.832999999999899</v>
      </c>
      <c r="G8" s="3" t="s">
        <v>21</v>
      </c>
      <c r="H8" s="3">
        <v>1.77</v>
      </c>
      <c r="I8" s="3">
        <v>0.03</v>
      </c>
      <c r="J8" s="3">
        <v>0</v>
      </c>
      <c r="K8" s="3">
        <v>12.01</v>
      </c>
      <c r="L8" s="3">
        <v>171.39</v>
      </c>
      <c r="M8" s="3">
        <v>1.8</v>
      </c>
      <c r="N8" s="3">
        <v>174.3</v>
      </c>
      <c r="O8" s="3" t="s">
        <v>1029</v>
      </c>
      <c r="P8" s="3">
        <v>244100</v>
      </c>
    </row>
    <row r="12" spans="1:16" x14ac:dyDescent="0.25">
      <c r="F12">
        <f>SUM(F2:F11)</f>
        <v>568.58099999999968</v>
      </c>
      <c r="L12">
        <f>SUM(L2:L11)</f>
        <v>984.33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P55"/>
  <sheetViews>
    <sheetView topLeftCell="A25" workbookViewId="0">
      <selection activeCell="H32" sqref="H32"/>
    </sheetView>
  </sheetViews>
  <sheetFormatPr defaultRowHeight="15" x14ac:dyDescent="0.25"/>
  <cols>
    <col min="1" max="1" width="10.42578125" bestFit="1" customWidth="1"/>
    <col min="2" max="2" width="25.7109375" bestFit="1" customWidth="1"/>
    <col min="3" max="3" width="14.5703125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82</v>
      </c>
      <c r="B2" t="s">
        <v>24</v>
      </c>
      <c r="C2" t="s">
        <v>1030</v>
      </c>
      <c r="D2" t="s">
        <v>1031</v>
      </c>
      <c r="E2" t="s">
        <v>20</v>
      </c>
      <c r="F2">
        <v>13.599</v>
      </c>
      <c r="G2" t="s">
        <v>21</v>
      </c>
      <c r="H2">
        <v>1.79</v>
      </c>
      <c r="I2">
        <v>0.03</v>
      </c>
      <c r="J2">
        <v>0</v>
      </c>
      <c r="K2">
        <v>1.54</v>
      </c>
      <c r="L2">
        <v>24.34</v>
      </c>
      <c r="M2">
        <v>1.82</v>
      </c>
      <c r="N2">
        <v>24.75</v>
      </c>
      <c r="O2" t="s">
        <v>249</v>
      </c>
      <c r="P2">
        <v>0</v>
      </c>
    </row>
    <row r="3" spans="1:16" x14ac:dyDescent="0.25">
      <c r="A3" t="s">
        <v>82</v>
      </c>
      <c r="B3" t="s">
        <v>32</v>
      </c>
      <c r="C3" t="s">
        <v>1032</v>
      </c>
      <c r="D3" t="s">
        <v>1033</v>
      </c>
      <c r="E3" t="s">
        <v>20</v>
      </c>
      <c r="F3">
        <v>17.928999999999899</v>
      </c>
      <c r="G3" t="s">
        <v>21</v>
      </c>
      <c r="H3">
        <v>1.79</v>
      </c>
      <c r="I3">
        <v>0.03</v>
      </c>
      <c r="J3">
        <v>0</v>
      </c>
      <c r="K3">
        <v>2.0299999999999998</v>
      </c>
      <c r="L3">
        <v>32.090000000000003</v>
      </c>
      <c r="M3">
        <v>1.82</v>
      </c>
      <c r="N3">
        <v>32.630000000000003</v>
      </c>
      <c r="O3" t="s">
        <v>1034</v>
      </c>
      <c r="P3">
        <v>0</v>
      </c>
    </row>
    <row r="4" spans="1:16" x14ac:dyDescent="0.25">
      <c r="A4" t="s">
        <v>82</v>
      </c>
      <c r="B4" t="s">
        <v>32</v>
      </c>
      <c r="C4" t="s">
        <v>1035</v>
      </c>
      <c r="D4" t="s">
        <v>1036</v>
      </c>
      <c r="E4" t="s">
        <v>20</v>
      </c>
      <c r="F4">
        <v>40.015999999999899</v>
      </c>
      <c r="G4" t="s">
        <v>21</v>
      </c>
      <c r="H4">
        <v>1.79</v>
      </c>
      <c r="I4">
        <v>0.03</v>
      </c>
      <c r="J4">
        <v>0</v>
      </c>
      <c r="K4">
        <v>4.5199999999999996</v>
      </c>
      <c r="L4">
        <v>71.63</v>
      </c>
      <c r="M4">
        <v>1.82</v>
      </c>
      <c r="N4">
        <v>72.83</v>
      </c>
      <c r="O4" t="s">
        <v>991</v>
      </c>
      <c r="P4">
        <v>0</v>
      </c>
    </row>
    <row r="5" spans="1:16" x14ac:dyDescent="0.25">
      <c r="A5" t="s">
        <v>82</v>
      </c>
      <c r="B5" t="s">
        <v>32</v>
      </c>
      <c r="C5" t="s">
        <v>1037</v>
      </c>
      <c r="D5" t="s">
        <v>1038</v>
      </c>
      <c r="E5" t="s">
        <v>20</v>
      </c>
      <c r="F5">
        <v>130.011</v>
      </c>
      <c r="G5" t="s">
        <v>21</v>
      </c>
      <c r="H5">
        <v>1.79</v>
      </c>
      <c r="I5">
        <v>0.03</v>
      </c>
      <c r="J5">
        <v>0</v>
      </c>
      <c r="K5">
        <v>14.69</v>
      </c>
      <c r="L5">
        <v>232.72</v>
      </c>
      <c r="M5">
        <v>1.82</v>
      </c>
      <c r="N5">
        <v>236.62</v>
      </c>
      <c r="O5" t="s">
        <v>1039</v>
      </c>
      <c r="P5">
        <v>0</v>
      </c>
    </row>
    <row r="6" spans="1:16" x14ac:dyDescent="0.25">
      <c r="A6" t="s">
        <v>82</v>
      </c>
      <c r="B6" t="s">
        <v>32</v>
      </c>
      <c r="C6" t="s">
        <v>1040</v>
      </c>
      <c r="D6" t="s">
        <v>1041</v>
      </c>
      <c r="E6" t="s">
        <v>20</v>
      </c>
      <c r="F6">
        <v>14</v>
      </c>
      <c r="G6" t="s">
        <v>21</v>
      </c>
      <c r="H6">
        <v>1.79</v>
      </c>
      <c r="I6">
        <v>0.03</v>
      </c>
      <c r="J6">
        <v>0</v>
      </c>
      <c r="K6">
        <v>1.58</v>
      </c>
      <c r="L6">
        <v>25.06</v>
      </c>
      <c r="M6">
        <v>1.82</v>
      </c>
      <c r="N6">
        <v>25.48</v>
      </c>
      <c r="O6" t="s">
        <v>927</v>
      </c>
      <c r="P6">
        <v>0</v>
      </c>
    </row>
    <row r="7" spans="1:16" x14ac:dyDescent="0.25">
      <c r="A7" t="s">
        <v>82</v>
      </c>
      <c r="B7" t="s">
        <v>32</v>
      </c>
      <c r="C7" t="s">
        <v>1042</v>
      </c>
      <c r="D7" t="s">
        <v>1043</v>
      </c>
      <c r="E7" t="s">
        <v>20</v>
      </c>
      <c r="F7">
        <v>6.9669999999999899</v>
      </c>
      <c r="G7" t="s">
        <v>21</v>
      </c>
      <c r="H7">
        <v>1.79</v>
      </c>
      <c r="I7">
        <v>0.03</v>
      </c>
      <c r="J7">
        <v>0</v>
      </c>
      <c r="K7">
        <v>0.79</v>
      </c>
      <c r="L7">
        <v>12.47</v>
      </c>
      <c r="M7">
        <v>1.82</v>
      </c>
      <c r="N7">
        <v>12.68</v>
      </c>
      <c r="O7" t="s">
        <v>661</v>
      </c>
      <c r="P7">
        <v>0</v>
      </c>
    </row>
    <row r="8" spans="1:16" s="2" customFormat="1" x14ac:dyDescent="0.25">
      <c r="A8" s="2" t="s">
        <v>82</v>
      </c>
      <c r="B8" s="2" t="s">
        <v>32</v>
      </c>
      <c r="C8" s="2" t="s">
        <v>1044</v>
      </c>
      <c r="D8" s="2" t="s">
        <v>1045</v>
      </c>
      <c r="E8" s="2" t="s">
        <v>64</v>
      </c>
      <c r="F8" s="2">
        <v>17.28</v>
      </c>
      <c r="G8" s="2" t="s">
        <v>21</v>
      </c>
      <c r="H8" s="2">
        <f>M8-I8</f>
        <v>2.0299999999999998</v>
      </c>
      <c r="I8" s="2">
        <v>0.04</v>
      </c>
      <c r="J8" s="2">
        <v>0</v>
      </c>
      <c r="K8" s="2">
        <v>7.0000000000000007E-2</v>
      </c>
      <c r="L8" s="2">
        <v>30.76</v>
      </c>
      <c r="M8" s="2">
        <v>2.0699999999999998</v>
      </c>
      <c r="N8" s="2">
        <v>35.770000000000003</v>
      </c>
      <c r="O8" s="2" t="s">
        <v>198</v>
      </c>
      <c r="P8" s="2">
        <v>0</v>
      </c>
    </row>
    <row r="9" spans="1:16" x14ac:dyDescent="0.25">
      <c r="A9" t="s">
        <v>82</v>
      </c>
      <c r="B9" t="s">
        <v>32</v>
      </c>
      <c r="C9" t="s">
        <v>1046</v>
      </c>
      <c r="D9" t="s">
        <v>1047</v>
      </c>
      <c r="E9" t="s">
        <v>20</v>
      </c>
      <c r="F9">
        <v>14.83</v>
      </c>
      <c r="G9" t="s">
        <v>21</v>
      </c>
      <c r="H9">
        <v>1.79</v>
      </c>
      <c r="I9">
        <v>0.03</v>
      </c>
      <c r="J9">
        <v>0</v>
      </c>
      <c r="K9">
        <v>1.68</v>
      </c>
      <c r="L9">
        <v>26.55</v>
      </c>
      <c r="M9">
        <v>1.82</v>
      </c>
      <c r="N9">
        <v>26.99</v>
      </c>
      <c r="O9" t="s">
        <v>347</v>
      </c>
      <c r="P9">
        <v>0</v>
      </c>
    </row>
    <row r="10" spans="1:16" x14ac:dyDescent="0.25">
      <c r="A10" t="s">
        <v>82</v>
      </c>
      <c r="B10" t="s">
        <v>32</v>
      </c>
      <c r="C10" t="s">
        <v>1048</v>
      </c>
      <c r="D10" t="s">
        <v>1049</v>
      </c>
      <c r="E10" t="s">
        <v>20</v>
      </c>
      <c r="F10">
        <v>30.951000000000001</v>
      </c>
      <c r="G10" t="s">
        <v>21</v>
      </c>
      <c r="H10">
        <v>1.79</v>
      </c>
      <c r="I10">
        <v>0.03</v>
      </c>
      <c r="J10">
        <v>0</v>
      </c>
      <c r="K10">
        <v>3.5</v>
      </c>
      <c r="L10">
        <v>55.4</v>
      </c>
      <c r="M10">
        <v>1.82</v>
      </c>
      <c r="N10">
        <v>56.33</v>
      </c>
      <c r="O10" t="s">
        <v>556</v>
      </c>
      <c r="P10">
        <v>0</v>
      </c>
    </row>
    <row r="11" spans="1:16" x14ac:dyDescent="0.25">
      <c r="A11" t="s">
        <v>82</v>
      </c>
      <c r="B11" t="s">
        <v>32</v>
      </c>
      <c r="C11" t="s">
        <v>1050</v>
      </c>
      <c r="D11" t="s">
        <v>1051</v>
      </c>
      <c r="E11" t="s">
        <v>20</v>
      </c>
      <c r="F11">
        <v>21</v>
      </c>
      <c r="G11" t="s">
        <v>21</v>
      </c>
      <c r="H11">
        <v>1.79</v>
      </c>
      <c r="I11">
        <v>0.03</v>
      </c>
      <c r="J11">
        <v>0</v>
      </c>
      <c r="K11">
        <v>2.37</v>
      </c>
      <c r="L11">
        <v>37.590000000000003</v>
      </c>
      <c r="M11">
        <v>1.82</v>
      </c>
      <c r="N11">
        <v>38.22</v>
      </c>
      <c r="O11" t="s">
        <v>764</v>
      </c>
      <c r="P11">
        <v>0</v>
      </c>
    </row>
    <row r="12" spans="1:16" x14ac:dyDescent="0.25">
      <c r="A12" t="s">
        <v>82</v>
      </c>
      <c r="B12" t="s">
        <v>32</v>
      </c>
      <c r="C12" t="s">
        <v>1052</v>
      </c>
      <c r="D12" t="s">
        <v>1053</v>
      </c>
      <c r="E12" t="s">
        <v>20</v>
      </c>
      <c r="F12">
        <v>17.89</v>
      </c>
      <c r="G12" t="s">
        <v>21</v>
      </c>
      <c r="H12">
        <v>1.79</v>
      </c>
      <c r="I12">
        <v>0.03</v>
      </c>
      <c r="J12">
        <v>0</v>
      </c>
      <c r="K12">
        <v>2.02</v>
      </c>
      <c r="L12">
        <v>32.020000000000003</v>
      </c>
      <c r="M12">
        <v>1.82</v>
      </c>
      <c r="N12">
        <v>32.56</v>
      </c>
      <c r="O12" t="s">
        <v>1054</v>
      </c>
      <c r="P12">
        <v>0</v>
      </c>
    </row>
    <row r="13" spans="1:16" x14ac:dyDescent="0.25">
      <c r="A13" t="s">
        <v>82</v>
      </c>
      <c r="B13" t="s">
        <v>32</v>
      </c>
      <c r="C13" t="s">
        <v>1055</v>
      </c>
      <c r="D13" t="s">
        <v>1056</v>
      </c>
      <c r="E13" t="s">
        <v>20</v>
      </c>
      <c r="F13">
        <v>19.901</v>
      </c>
      <c r="G13" t="s">
        <v>21</v>
      </c>
      <c r="H13">
        <v>1.79</v>
      </c>
      <c r="I13">
        <v>0.03</v>
      </c>
      <c r="J13">
        <v>0</v>
      </c>
      <c r="K13">
        <v>2.25</v>
      </c>
      <c r="L13">
        <v>35.619999999999997</v>
      </c>
      <c r="M13">
        <v>1.82</v>
      </c>
      <c r="N13">
        <v>36.22</v>
      </c>
      <c r="O13" t="s">
        <v>1057</v>
      </c>
      <c r="P13">
        <v>0</v>
      </c>
    </row>
    <row r="14" spans="1:16" x14ac:dyDescent="0.25">
      <c r="A14" t="s">
        <v>82</v>
      </c>
      <c r="B14" t="s">
        <v>32</v>
      </c>
      <c r="C14" t="s">
        <v>1058</v>
      </c>
      <c r="D14" t="s">
        <v>1059</v>
      </c>
      <c r="E14" t="s">
        <v>20</v>
      </c>
      <c r="F14">
        <v>50</v>
      </c>
      <c r="G14" t="s">
        <v>21</v>
      </c>
      <c r="H14">
        <v>1.79</v>
      </c>
      <c r="I14">
        <v>0.03</v>
      </c>
      <c r="J14">
        <v>0</v>
      </c>
      <c r="K14">
        <v>5.65</v>
      </c>
      <c r="L14">
        <v>89.5</v>
      </c>
      <c r="M14">
        <v>1.82</v>
      </c>
      <c r="N14">
        <v>91</v>
      </c>
      <c r="O14" t="s">
        <v>1060</v>
      </c>
      <c r="P14">
        <v>0</v>
      </c>
    </row>
    <row r="15" spans="1:16" x14ac:dyDescent="0.25">
      <c r="A15" t="s">
        <v>82</v>
      </c>
      <c r="B15" t="s">
        <v>496</v>
      </c>
      <c r="C15" t="s">
        <v>1061</v>
      </c>
      <c r="D15" t="s">
        <v>1062</v>
      </c>
      <c r="E15" t="s">
        <v>37</v>
      </c>
      <c r="F15">
        <v>32.506</v>
      </c>
      <c r="G15" t="s">
        <v>21</v>
      </c>
      <c r="H15">
        <v>0.82</v>
      </c>
      <c r="I15">
        <v>0.01</v>
      </c>
      <c r="J15">
        <v>0</v>
      </c>
      <c r="K15">
        <v>-5.85</v>
      </c>
      <c r="L15">
        <v>26.65</v>
      </c>
      <c r="M15">
        <v>0.83</v>
      </c>
      <c r="N15">
        <v>26.98</v>
      </c>
      <c r="O15" t="s">
        <v>1026</v>
      </c>
      <c r="P15">
        <v>0</v>
      </c>
    </row>
    <row r="16" spans="1:16" x14ac:dyDescent="0.25">
      <c r="A16" t="s">
        <v>82</v>
      </c>
      <c r="B16" t="s">
        <v>103</v>
      </c>
      <c r="C16" t="s">
        <v>1063</v>
      </c>
      <c r="D16" t="s">
        <v>1064</v>
      </c>
      <c r="E16" t="s">
        <v>20</v>
      </c>
      <c r="F16">
        <v>50.5489999999999</v>
      </c>
      <c r="G16" t="s">
        <v>21</v>
      </c>
      <c r="H16">
        <v>1.79</v>
      </c>
      <c r="I16">
        <v>0.03</v>
      </c>
      <c r="J16">
        <v>0</v>
      </c>
      <c r="K16">
        <v>5.71</v>
      </c>
      <c r="L16">
        <v>90.48</v>
      </c>
      <c r="M16">
        <v>1.82</v>
      </c>
      <c r="N16">
        <v>92</v>
      </c>
      <c r="O16" t="s">
        <v>1065</v>
      </c>
      <c r="P16">
        <v>2025</v>
      </c>
    </row>
    <row r="17" spans="1:16" x14ac:dyDescent="0.25">
      <c r="A17" t="s">
        <v>16</v>
      </c>
      <c r="B17" t="s">
        <v>24</v>
      </c>
      <c r="C17" t="s">
        <v>1030</v>
      </c>
      <c r="D17" t="s">
        <v>1031</v>
      </c>
      <c r="E17" t="s">
        <v>20</v>
      </c>
      <c r="F17">
        <v>6.8620000000000001</v>
      </c>
      <c r="G17" t="s">
        <v>21</v>
      </c>
      <c r="H17">
        <v>1.78</v>
      </c>
      <c r="I17">
        <v>0.03</v>
      </c>
      <c r="J17">
        <v>0</v>
      </c>
      <c r="K17">
        <v>0.76</v>
      </c>
      <c r="L17">
        <v>12.21</v>
      </c>
      <c r="M17">
        <v>1.81</v>
      </c>
      <c r="N17">
        <v>12.42</v>
      </c>
      <c r="O17" t="s">
        <v>102</v>
      </c>
      <c r="P17">
        <v>0</v>
      </c>
    </row>
    <row r="18" spans="1:16" x14ac:dyDescent="0.25">
      <c r="A18" t="s">
        <v>16</v>
      </c>
      <c r="B18" t="s">
        <v>32</v>
      </c>
      <c r="C18" t="s">
        <v>1040</v>
      </c>
      <c r="D18" t="s">
        <v>1041</v>
      </c>
      <c r="E18" t="s">
        <v>20</v>
      </c>
      <c r="F18">
        <v>4</v>
      </c>
      <c r="G18" t="s">
        <v>21</v>
      </c>
      <c r="H18">
        <v>1.78</v>
      </c>
      <c r="I18">
        <v>0.03</v>
      </c>
      <c r="J18">
        <v>0</v>
      </c>
      <c r="K18">
        <v>0.44</v>
      </c>
      <c r="L18">
        <v>7.12</v>
      </c>
      <c r="M18">
        <v>1.81</v>
      </c>
      <c r="N18">
        <v>7.24</v>
      </c>
      <c r="O18" t="s">
        <v>1066</v>
      </c>
      <c r="P18">
        <v>0</v>
      </c>
    </row>
    <row r="19" spans="1:16" x14ac:dyDescent="0.25">
      <c r="A19" t="s">
        <v>16</v>
      </c>
      <c r="B19" t="s">
        <v>32</v>
      </c>
      <c r="C19" t="s">
        <v>1032</v>
      </c>
      <c r="D19" t="s">
        <v>1033</v>
      </c>
      <c r="E19" t="s">
        <v>20</v>
      </c>
      <c r="F19">
        <v>5.8399999999999901</v>
      </c>
      <c r="G19" t="s">
        <v>21</v>
      </c>
      <c r="H19">
        <v>1.78</v>
      </c>
      <c r="I19">
        <v>0.03</v>
      </c>
      <c r="J19">
        <v>0</v>
      </c>
      <c r="K19">
        <v>0.65</v>
      </c>
      <c r="L19">
        <v>10.4</v>
      </c>
      <c r="M19">
        <v>1.81</v>
      </c>
      <c r="N19">
        <v>10.57</v>
      </c>
      <c r="O19" t="s">
        <v>556</v>
      </c>
      <c r="P19">
        <v>0</v>
      </c>
    </row>
    <row r="20" spans="1:16" x14ac:dyDescent="0.25">
      <c r="A20" t="s">
        <v>16</v>
      </c>
      <c r="B20" t="s">
        <v>32</v>
      </c>
      <c r="C20" t="s">
        <v>1042</v>
      </c>
      <c r="D20" t="s">
        <v>1043</v>
      </c>
      <c r="E20" t="s">
        <v>20</v>
      </c>
      <c r="F20">
        <v>2.8780000000000001</v>
      </c>
      <c r="G20" t="s">
        <v>21</v>
      </c>
      <c r="H20">
        <v>1.78</v>
      </c>
      <c r="I20">
        <v>0.03</v>
      </c>
      <c r="J20">
        <v>0</v>
      </c>
      <c r="K20">
        <v>0.32</v>
      </c>
      <c r="L20">
        <v>5.12</v>
      </c>
      <c r="M20">
        <v>1.81</v>
      </c>
      <c r="N20">
        <v>5.21</v>
      </c>
      <c r="O20" t="s">
        <v>1067</v>
      </c>
      <c r="P20">
        <v>0</v>
      </c>
    </row>
    <row r="21" spans="1:16" x14ac:dyDescent="0.25">
      <c r="A21" t="s">
        <v>16</v>
      </c>
      <c r="B21" t="s">
        <v>32</v>
      </c>
      <c r="C21" t="s">
        <v>1044</v>
      </c>
      <c r="D21" t="s">
        <v>1045</v>
      </c>
      <c r="E21" t="s">
        <v>20</v>
      </c>
      <c r="F21">
        <v>5.95</v>
      </c>
      <c r="G21" t="s">
        <v>21</v>
      </c>
      <c r="H21">
        <v>1.78</v>
      </c>
      <c r="I21">
        <v>0.03</v>
      </c>
      <c r="J21">
        <v>0</v>
      </c>
      <c r="K21">
        <v>0.66</v>
      </c>
      <c r="L21">
        <v>10.59</v>
      </c>
      <c r="M21">
        <v>1.81</v>
      </c>
      <c r="N21">
        <v>10.77</v>
      </c>
      <c r="O21" t="s">
        <v>1068</v>
      </c>
      <c r="P21">
        <v>0</v>
      </c>
    </row>
    <row r="22" spans="1:16" x14ac:dyDescent="0.25">
      <c r="A22" t="s">
        <v>16</v>
      </c>
      <c r="B22" t="s">
        <v>32</v>
      </c>
      <c r="C22" t="s">
        <v>1046</v>
      </c>
      <c r="D22" t="s">
        <v>1047</v>
      </c>
      <c r="E22" t="s">
        <v>20</v>
      </c>
      <c r="F22">
        <v>6.8780000000000001</v>
      </c>
      <c r="G22" t="s">
        <v>21</v>
      </c>
      <c r="H22">
        <v>1.78</v>
      </c>
      <c r="I22">
        <v>0.03</v>
      </c>
      <c r="J22">
        <v>0</v>
      </c>
      <c r="K22">
        <v>0.76</v>
      </c>
      <c r="L22">
        <v>12.24</v>
      </c>
      <c r="M22">
        <v>1.81</v>
      </c>
      <c r="N22">
        <v>12.45</v>
      </c>
      <c r="O22" t="s">
        <v>184</v>
      </c>
      <c r="P22">
        <v>0</v>
      </c>
    </row>
    <row r="23" spans="1:16" x14ac:dyDescent="0.25">
      <c r="A23" t="s">
        <v>16</v>
      </c>
      <c r="B23" t="s">
        <v>32</v>
      </c>
      <c r="C23" t="s">
        <v>1055</v>
      </c>
      <c r="D23" t="s">
        <v>1056</v>
      </c>
      <c r="E23" t="s">
        <v>20</v>
      </c>
      <c r="F23">
        <v>8.4700000000000006</v>
      </c>
      <c r="G23" t="s">
        <v>21</v>
      </c>
      <c r="H23">
        <v>1.78</v>
      </c>
      <c r="I23">
        <v>0.03</v>
      </c>
      <c r="J23">
        <v>0</v>
      </c>
      <c r="K23">
        <v>0.94</v>
      </c>
      <c r="L23">
        <v>15.08</v>
      </c>
      <c r="M23">
        <v>1.81</v>
      </c>
      <c r="N23">
        <v>15.33</v>
      </c>
      <c r="O23" t="s">
        <v>284</v>
      </c>
      <c r="P23">
        <v>0</v>
      </c>
    </row>
    <row r="24" spans="1:16" x14ac:dyDescent="0.25">
      <c r="A24" t="s">
        <v>16</v>
      </c>
      <c r="B24" t="s">
        <v>496</v>
      </c>
      <c r="C24" t="s">
        <v>1035</v>
      </c>
      <c r="D24" t="s">
        <v>1036</v>
      </c>
      <c r="E24" t="s">
        <v>20</v>
      </c>
      <c r="F24">
        <v>13</v>
      </c>
      <c r="G24" t="s">
        <v>21</v>
      </c>
      <c r="H24">
        <v>1.78</v>
      </c>
      <c r="I24">
        <v>0.03</v>
      </c>
      <c r="J24">
        <v>0</v>
      </c>
      <c r="K24">
        <v>1.44</v>
      </c>
      <c r="L24">
        <v>23.14</v>
      </c>
      <c r="M24">
        <v>1.81</v>
      </c>
      <c r="N24">
        <v>23.53</v>
      </c>
      <c r="O24" t="s">
        <v>695</v>
      </c>
      <c r="P24">
        <v>0</v>
      </c>
    </row>
    <row r="25" spans="1:16" x14ac:dyDescent="0.25">
      <c r="A25" t="s">
        <v>16</v>
      </c>
      <c r="B25" t="s">
        <v>496</v>
      </c>
      <c r="C25" t="s">
        <v>1050</v>
      </c>
      <c r="D25" t="s">
        <v>1051</v>
      </c>
      <c r="E25" t="s">
        <v>20</v>
      </c>
      <c r="F25">
        <v>3</v>
      </c>
      <c r="G25" t="s">
        <v>21</v>
      </c>
      <c r="H25">
        <v>1.78</v>
      </c>
      <c r="I25">
        <v>0.03</v>
      </c>
      <c r="J25">
        <v>0</v>
      </c>
      <c r="K25">
        <v>0.33</v>
      </c>
      <c r="L25">
        <v>5.34</v>
      </c>
      <c r="M25">
        <v>1.81</v>
      </c>
      <c r="N25">
        <v>5.43</v>
      </c>
      <c r="O25" t="s">
        <v>1069</v>
      </c>
      <c r="P25">
        <v>0</v>
      </c>
    </row>
    <row r="26" spans="1:16" x14ac:dyDescent="0.25">
      <c r="A26" t="s">
        <v>16</v>
      </c>
      <c r="B26" t="s">
        <v>496</v>
      </c>
      <c r="C26" t="s">
        <v>1048</v>
      </c>
      <c r="D26" t="s">
        <v>1049</v>
      </c>
      <c r="E26" t="s">
        <v>20</v>
      </c>
      <c r="F26">
        <v>8.1880000000000006</v>
      </c>
      <c r="G26" t="s">
        <v>21</v>
      </c>
      <c r="H26">
        <v>1.78</v>
      </c>
      <c r="I26">
        <v>0.03</v>
      </c>
      <c r="J26">
        <v>0</v>
      </c>
      <c r="K26">
        <v>0.91</v>
      </c>
      <c r="L26">
        <v>14.57</v>
      </c>
      <c r="M26">
        <v>1.81</v>
      </c>
      <c r="N26">
        <v>14.82</v>
      </c>
      <c r="O26" t="s">
        <v>1070</v>
      </c>
      <c r="P26">
        <v>0</v>
      </c>
    </row>
    <row r="27" spans="1:16" x14ac:dyDescent="0.25">
      <c r="A27" t="s">
        <v>16</v>
      </c>
      <c r="B27" t="s">
        <v>496</v>
      </c>
      <c r="C27" t="s">
        <v>1037</v>
      </c>
      <c r="D27" t="s">
        <v>1038</v>
      </c>
      <c r="E27" t="s">
        <v>20</v>
      </c>
      <c r="F27">
        <v>15</v>
      </c>
      <c r="G27" t="s">
        <v>21</v>
      </c>
      <c r="H27">
        <v>1.78</v>
      </c>
      <c r="I27">
        <v>0.03</v>
      </c>
      <c r="J27">
        <v>0</v>
      </c>
      <c r="K27">
        <v>1.66</v>
      </c>
      <c r="L27">
        <v>26.7</v>
      </c>
      <c r="M27">
        <v>1.81</v>
      </c>
      <c r="N27">
        <v>27.15</v>
      </c>
      <c r="O27" t="s">
        <v>135</v>
      </c>
      <c r="P27">
        <v>0</v>
      </c>
    </row>
    <row r="28" spans="1:16" x14ac:dyDescent="0.25">
      <c r="A28" t="s">
        <v>86</v>
      </c>
      <c r="B28" t="s">
        <v>24</v>
      </c>
      <c r="C28" t="s">
        <v>1030</v>
      </c>
      <c r="D28" t="s">
        <v>1031</v>
      </c>
      <c r="E28" t="s">
        <v>20</v>
      </c>
      <c r="F28">
        <v>4.3090000000000002</v>
      </c>
      <c r="G28" t="s">
        <v>21</v>
      </c>
      <c r="H28">
        <v>1.78</v>
      </c>
      <c r="I28">
        <v>0.03</v>
      </c>
      <c r="J28">
        <v>0</v>
      </c>
      <c r="K28">
        <v>0.48</v>
      </c>
      <c r="L28">
        <v>7.67</v>
      </c>
      <c r="M28">
        <v>1.81</v>
      </c>
      <c r="N28">
        <v>7.8</v>
      </c>
      <c r="O28" t="s">
        <v>102</v>
      </c>
      <c r="P28">
        <v>0</v>
      </c>
    </row>
    <row r="29" spans="1:16" x14ac:dyDescent="0.25">
      <c r="A29" t="s">
        <v>86</v>
      </c>
      <c r="B29" t="s">
        <v>32</v>
      </c>
      <c r="C29" t="s">
        <v>1044</v>
      </c>
      <c r="D29" t="s">
        <v>1045</v>
      </c>
      <c r="E29" t="s">
        <v>20</v>
      </c>
      <c r="F29">
        <v>4.3040000000000003</v>
      </c>
      <c r="G29" t="s">
        <v>21</v>
      </c>
      <c r="H29">
        <v>1.78</v>
      </c>
      <c r="I29">
        <v>0.03</v>
      </c>
      <c r="J29">
        <v>0</v>
      </c>
      <c r="K29">
        <v>0.48</v>
      </c>
      <c r="L29">
        <v>7.66</v>
      </c>
      <c r="M29">
        <v>1.81</v>
      </c>
      <c r="N29">
        <v>7.79</v>
      </c>
      <c r="O29" t="s">
        <v>943</v>
      </c>
      <c r="P29">
        <v>0</v>
      </c>
    </row>
    <row r="30" spans="1:16" x14ac:dyDescent="0.25">
      <c r="A30" t="s">
        <v>86</v>
      </c>
      <c r="B30" t="s">
        <v>32</v>
      </c>
      <c r="C30" t="s">
        <v>1032</v>
      </c>
      <c r="D30" t="s">
        <v>1033</v>
      </c>
      <c r="E30" t="s">
        <v>20</v>
      </c>
      <c r="F30">
        <v>3.2320000000000002</v>
      </c>
      <c r="G30" t="s">
        <v>21</v>
      </c>
      <c r="H30">
        <v>1.78</v>
      </c>
      <c r="I30">
        <v>0.03</v>
      </c>
      <c r="J30">
        <v>0</v>
      </c>
      <c r="K30">
        <v>0.36</v>
      </c>
      <c r="L30">
        <v>5.75</v>
      </c>
      <c r="M30">
        <v>1.81</v>
      </c>
      <c r="N30">
        <v>5.85</v>
      </c>
      <c r="O30" t="s">
        <v>958</v>
      </c>
      <c r="P30">
        <v>0</v>
      </c>
    </row>
    <row r="31" spans="1:16" x14ac:dyDescent="0.25">
      <c r="A31" t="s">
        <v>86</v>
      </c>
      <c r="B31" t="s">
        <v>32</v>
      </c>
      <c r="C31" t="s">
        <v>1035</v>
      </c>
      <c r="D31" t="s">
        <v>1036</v>
      </c>
      <c r="E31" t="s">
        <v>20</v>
      </c>
      <c r="F31">
        <v>9</v>
      </c>
      <c r="G31" t="s">
        <v>21</v>
      </c>
      <c r="H31">
        <v>1.78</v>
      </c>
      <c r="I31">
        <v>0.03</v>
      </c>
      <c r="J31">
        <v>0</v>
      </c>
      <c r="K31">
        <v>1</v>
      </c>
      <c r="L31">
        <v>16.02</v>
      </c>
      <c r="M31">
        <v>1.81</v>
      </c>
      <c r="N31">
        <v>16.29</v>
      </c>
      <c r="O31" t="s">
        <v>1071</v>
      </c>
      <c r="P31">
        <v>0</v>
      </c>
    </row>
    <row r="32" spans="1:16" x14ac:dyDescent="0.25">
      <c r="A32" t="s">
        <v>86</v>
      </c>
      <c r="B32" t="s">
        <v>32</v>
      </c>
      <c r="C32" t="s">
        <v>1048</v>
      </c>
      <c r="D32" t="s">
        <v>1049</v>
      </c>
      <c r="E32" t="s">
        <v>20</v>
      </c>
      <c r="F32">
        <v>9.7899999999999903</v>
      </c>
      <c r="G32" t="s">
        <v>21</v>
      </c>
      <c r="H32">
        <v>1.78</v>
      </c>
      <c r="I32">
        <v>0.03</v>
      </c>
      <c r="J32">
        <v>0</v>
      </c>
      <c r="K32">
        <v>1.0900000000000001</v>
      </c>
      <c r="L32">
        <v>17.43</v>
      </c>
      <c r="M32">
        <v>1.81</v>
      </c>
      <c r="N32">
        <v>17.72</v>
      </c>
      <c r="O32" t="s">
        <v>184</v>
      </c>
      <c r="P32">
        <v>0</v>
      </c>
    </row>
    <row r="33" spans="1:16" x14ac:dyDescent="0.25">
      <c r="A33" t="s">
        <v>86</v>
      </c>
      <c r="B33" t="s">
        <v>32</v>
      </c>
      <c r="C33" t="s">
        <v>1042</v>
      </c>
      <c r="D33" t="s">
        <v>1043</v>
      </c>
      <c r="E33" t="s">
        <v>20</v>
      </c>
      <c r="F33">
        <v>3.331</v>
      </c>
      <c r="G33" t="s">
        <v>21</v>
      </c>
      <c r="H33">
        <v>1.78</v>
      </c>
      <c r="I33">
        <v>0.03</v>
      </c>
      <c r="J33">
        <v>0</v>
      </c>
      <c r="K33">
        <v>0.37</v>
      </c>
      <c r="L33">
        <v>5.93</v>
      </c>
      <c r="M33">
        <v>1.81</v>
      </c>
      <c r="N33">
        <v>6.03</v>
      </c>
      <c r="O33" t="s">
        <v>102</v>
      </c>
      <c r="P33">
        <v>0</v>
      </c>
    </row>
    <row r="34" spans="1:16" x14ac:dyDescent="0.25">
      <c r="A34" t="s">
        <v>86</v>
      </c>
      <c r="B34" t="s">
        <v>32</v>
      </c>
      <c r="C34" t="s">
        <v>1046</v>
      </c>
      <c r="D34" t="s">
        <v>1047</v>
      </c>
      <c r="E34" t="s">
        <v>20</v>
      </c>
      <c r="F34">
        <v>7.1660000000000004</v>
      </c>
      <c r="G34" t="s">
        <v>21</v>
      </c>
      <c r="H34">
        <v>1.78</v>
      </c>
      <c r="I34">
        <v>0.03</v>
      </c>
      <c r="J34">
        <v>0</v>
      </c>
      <c r="K34">
        <v>0.8</v>
      </c>
      <c r="L34">
        <v>12.76</v>
      </c>
      <c r="M34">
        <v>1.81</v>
      </c>
      <c r="N34">
        <v>12.97</v>
      </c>
      <c r="O34" t="s">
        <v>548</v>
      </c>
      <c r="P34">
        <v>0</v>
      </c>
    </row>
    <row r="35" spans="1:16" x14ac:dyDescent="0.25">
      <c r="A35" t="s">
        <v>86</v>
      </c>
      <c r="B35" t="s">
        <v>32</v>
      </c>
      <c r="C35" t="s">
        <v>1052</v>
      </c>
      <c r="D35" t="s">
        <v>1053</v>
      </c>
      <c r="E35" t="s">
        <v>20</v>
      </c>
      <c r="F35">
        <v>8.9719999999999906</v>
      </c>
      <c r="G35" t="s">
        <v>21</v>
      </c>
      <c r="H35">
        <v>1.78</v>
      </c>
      <c r="I35">
        <v>0.03</v>
      </c>
      <c r="J35">
        <v>0</v>
      </c>
      <c r="K35">
        <v>1</v>
      </c>
      <c r="L35">
        <v>15.97</v>
      </c>
      <c r="M35">
        <v>1.81</v>
      </c>
      <c r="N35">
        <v>16.239999999999998</v>
      </c>
      <c r="O35" t="s">
        <v>245</v>
      </c>
      <c r="P35">
        <v>0</v>
      </c>
    </row>
    <row r="36" spans="1:16" x14ac:dyDescent="0.25">
      <c r="A36" t="s">
        <v>86</v>
      </c>
      <c r="B36" t="s">
        <v>496</v>
      </c>
      <c r="C36" t="s">
        <v>1072</v>
      </c>
      <c r="D36" t="s">
        <v>1073</v>
      </c>
      <c r="E36" t="s">
        <v>30</v>
      </c>
      <c r="F36">
        <v>200</v>
      </c>
      <c r="G36" t="s">
        <v>21</v>
      </c>
      <c r="H36">
        <v>1.48</v>
      </c>
      <c r="I36">
        <v>0.03</v>
      </c>
      <c r="J36">
        <v>0</v>
      </c>
      <c r="K36">
        <v>18.2</v>
      </c>
      <c r="L36">
        <v>296</v>
      </c>
      <c r="M36">
        <v>1.51</v>
      </c>
      <c r="N36">
        <v>302</v>
      </c>
      <c r="O36" t="s">
        <v>761</v>
      </c>
      <c r="P36">
        <v>0</v>
      </c>
    </row>
    <row r="37" spans="1:16" x14ac:dyDescent="0.25">
      <c r="A37" t="s">
        <v>86</v>
      </c>
      <c r="B37" t="s">
        <v>496</v>
      </c>
      <c r="C37" t="s">
        <v>1050</v>
      </c>
      <c r="D37" t="s">
        <v>1051</v>
      </c>
      <c r="E37" t="s">
        <v>20</v>
      </c>
      <c r="F37">
        <v>3</v>
      </c>
      <c r="G37" t="s">
        <v>21</v>
      </c>
      <c r="H37">
        <v>1.78</v>
      </c>
      <c r="I37">
        <v>0.03</v>
      </c>
      <c r="J37">
        <v>0</v>
      </c>
      <c r="K37">
        <v>0.33</v>
      </c>
      <c r="L37">
        <v>5.34</v>
      </c>
      <c r="M37">
        <v>1.81</v>
      </c>
      <c r="N37">
        <v>5.43</v>
      </c>
      <c r="O37" t="s">
        <v>943</v>
      </c>
      <c r="P37">
        <v>0</v>
      </c>
    </row>
    <row r="38" spans="1:16" x14ac:dyDescent="0.25">
      <c r="A38" t="s">
        <v>151</v>
      </c>
      <c r="B38" t="s">
        <v>24</v>
      </c>
      <c r="C38" t="s">
        <v>1030</v>
      </c>
      <c r="D38" t="s">
        <v>1031</v>
      </c>
      <c r="E38" t="s">
        <v>20</v>
      </c>
      <c r="F38">
        <v>4.4610000000000003</v>
      </c>
      <c r="G38" t="s">
        <v>21</v>
      </c>
      <c r="H38">
        <v>1.77</v>
      </c>
      <c r="I38">
        <v>0.03</v>
      </c>
      <c r="J38">
        <v>0</v>
      </c>
      <c r="K38">
        <v>0.55000000000000004</v>
      </c>
      <c r="L38">
        <v>7.9</v>
      </c>
      <c r="M38">
        <v>1.8</v>
      </c>
      <c r="N38">
        <v>8.0299999999999994</v>
      </c>
      <c r="O38" t="s">
        <v>1074</v>
      </c>
      <c r="P38">
        <v>0</v>
      </c>
    </row>
    <row r="39" spans="1:16" x14ac:dyDescent="0.25">
      <c r="A39" t="s">
        <v>151</v>
      </c>
      <c r="B39" t="s">
        <v>24</v>
      </c>
      <c r="C39" t="s">
        <v>1042</v>
      </c>
      <c r="D39" t="s">
        <v>1043</v>
      </c>
      <c r="E39" t="s">
        <v>20</v>
      </c>
      <c r="F39">
        <v>2.6219999999999901</v>
      </c>
      <c r="G39" t="s">
        <v>21</v>
      </c>
      <c r="H39">
        <v>1.77</v>
      </c>
      <c r="I39">
        <v>0.03</v>
      </c>
      <c r="J39">
        <v>0</v>
      </c>
      <c r="K39">
        <v>0.33</v>
      </c>
      <c r="L39">
        <v>4.6399999999999997</v>
      </c>
      <c r="M39">
        <v>1.8</v>
      </c>
      <c r="N39">
        <v>4.72</v>
      </c>
      <c r="O39" t="s">
        <v>1013</v>
      </c>
      <c r="P39">
        <v>0</v>
      </c>
    </row>
    <row r="40" spans="1:16" x14ac:dyDescent="0.25">
      <c r="A40" t="s">
        <v>151</v>
      </c>
      <c r="B40" t="s">
        <v>17</v>
      </c>
      <c r="C40" t="s">
        <v>1061</v>
      </c>
      <c r="D40" t="s">
        <v>1062</v>
      </c>
      <c r="E40" t="s">
        <v>37</v>
      </c>
      <c r="F40">
        <v>26.614000000000001</v>
      </c>
      <c r="G40" t="s">
        <v>21</v>
      </c>
      <c r="H40">
        <v>0.82</v>
      </c>
      <c r="I40">
        <v>0.01</v>
      </c>
      <c r="J40">
        <v>0</v>
      </c>
      <c r="K40">
        <v>-4.79</v>
      </c>
      <c r="L40">
        <v>21.82</v>
      </c>
      <c r="M40">
        <v>0.83</v>
      </c>
      <c r="N40">
        <v>22.09</v>
      </c>
      <c r="O40" t="s">
        <v>1075</v>
      </c>
      <c r="P40">
        <v>0</v>
      </c>
    </row>
    <row r="41" spans="1:16" x14ac:dyDescent="0.25">
      <c r="A41" t="s">
        <v>151</v>
      </c>
      <c r="B41" t="s">
        <v>32</v>
      </c>
      <c r="C41" t="s">
        <v>1052</v>
      </c>
      <c r="D41" t="s">
        <v>1053</v>
      </c>
      <c r="E41" t="s">
        <v>20</v>
      </c>
      <c r="F41">
        <v>8.0329999999999906</v>
      </c>
      <c r="G41" t="s">
        <v>21</v>
      </c>
      <c r="H41">
        <v>1.77</v>
      </c>
      <c r="I41">
        <v>0.03</v>
      </c>
      <c r="J41">
        <v>0</v>
      </c>
      <c r="K41">
        <v>1</v>
      </c>
      <c r="L41">
        <v>14.22</v>
      </c>
      <c r="M41">
        <v>1.8</v>
      </c>
      <c r="N41">
        <v>14.46</v>
      </c>
      <c r="O41" t="s">
        <v>773</v>
      </c>
      <c r="P41">
        <v>0</v>
      </c>
    </row>
    <row r="42" spans="1:16" x14ac:dyDescent="0.25">
      <c r="A42" t="s">
        <v>151</v>
      </c>
      <c r="B42" t="s">
        <v>32</v>
      </c>
      <c r="C42" t="s">
        <v>1058</v>
      </c>
      <c r="D42" t="s">
        <v>1059</v>
      </c>
      <c r="E42" t="s">
        <v>20</v>
      </c>
      <c r="F42">
        <v>30</v>
      </c>
      <c r="G42" t="s">
        <v>21</v>
      </c>
      <c r="H42">
        <v>1.77</v>
      </c>
      <c r="I42">
        <v>0.03</v>
      </c>
      <c r="J42">
        <v>0</v>
      </c>
      <c r="K42">
        <v>3.72</v>
      </c>
      <c r="L42">
        <v>53.1</v>
      </c>
      <c r="M42">
        <v>1.8</v>
      </c>
      <c r="N42">
        <v>54</v>
      </c>
      <c r="O42" t="s">
        <v>1068</v>
      </c>
      <c r="P42">
        <v>0</v>
      </c>
    </row>
    <row r="43" spans="1:16" x14ac:dyDescent="0.25">
      <c r="A43" t="s">
        <v>151</v>
      </c>
      <c r="B43" t="s">
        <v>32</v>
      </c>
      <c r="C43" t="s">
        <v>1046</v>
      </c>
      <c r="D43" t="s">
        <v>1047</v>
      </c>
      <c r="E43" t="s">
        <v>20</v>
      </c>
      <c r="F43">
        <v>4.5060000000000002</v>
      </c>
      <c r="G43" t="s">
        <v>21</v>
      </c>
      <c r="H43">
        <v>1.77</v>
      </c>
      <c r="I43">
        <v>0.03</v>
      </c>
      <c r="J43">
        <v>0</v>
      </c>
      <c r="K43">
        <v>0.56000000000000005</v>
      </c>
      <c r="L43">
        <v>7.98</v>
      </c>
      <c r="M43">
        <v>1.8</v>
      </c>
      <c r="N43">
        <v>8.11</v>
      </c>
      <c r="O43" t="s">
        <v>1076</v>
      </c>
      <c r="P43">
        <v>0</v>
      </c>
    </row>
    <row r="44" spans="1:16" x14ac:dyDescent="0.25">
      <c r="A44" t="s">
        <v>151</v>
      </c>
      <c r="B44" t="s">
        <v>32</v>
      </c>
      <c r="C44" t="s">
        <v>1035</v>
      </c>
      <c r="D44" t="s">
        <v>1036</v>
      </c>
      <c r="E44" t="s">
        <v>20</v>
      </c>
      <c r="F44">
        <v>9.4280000000000008</v>
      </c>
      <c r="G44" t="s">
        <v>21</v>
      </c>
      <c r="H44">
        <v>1.77</v>
      </c>
      <c r="I44">
        <v>0.03</v>
      </c>
      <c r="J44">
        <v>0</v>
      </c>
      <c r="K44">
        <v>1.17</v>
      </c>
      <c r="L44">
        <v>16.690000000000001</v>
      </c>
      <c r="M44">
        <v>1.8</v>
      </c>
      <c r="N44">
        <v>16.97</v>
      </c>
      <c r="O44" t="s">
        <v>1077</v>
      </c>
      <c r="P44">
        <v>0</v>
      </c>
    </row>
    <row r="45" spans="1:16" x14ac:dyDescent="0.25">
      <c r="A45" t="s">
        <v>151</v>
      </c>
      <c r="B45" t="s">
        <v>32</v>
      </c>
      <c r="C45" t="s">
        <v>1032</v>
      </c>
      <c r="D45" t="s">
        <v>1033</v>
      </c>
      <c r="E45" t="s">
        <v>20</v>
      </c>
      <c r="F45">
        <v>5.306</v>
      </c>
      <c r="G45" t="s">
        <v>21</v>
      </c>
      <c r="H45">
        <v>1.77</v>
      </c>
      <c r="I45">
        <v>0.03</v>
      </c>
      <c r="J45">
        <v>0</v>
      </c>
      <c r="K45">
        <v>0.66</v>
      </c>
      <c r="L45">
        <v>9.39</v>
      </c>
      <c r="M45">
        <v>1.8</v>
      </c>
      <c r="N45">
        <v>9.5500000000000007</v>
      </c>
      <c r="O45" t="s">
        <v>943</v>
      </c>
      <c r="P45">
        <v>0</v>
      </c>
    </row>
    <row r="46" spans="1:16" x14ac:dyDescent="0.25">
      <c r="A46" t="s">
        <v>151</v>
      </c>
      <c r="B46" t="s">
        <v>32</v>
      </c>
      <c r="C46" t="s">
        <v>1037</v>
      </c>
      <c r="D46" t="s">
        <v>1038</v>
      </c>
      <c r="E46" t="s">
        <v>20</v>
      </c>
      <c r="F46">
        <v>32</v>
      </c>
      <c r="G46" t="s">
        <v>21</v>
      </c>
      <c r="H46">
        <v>1.77</v>
      </c>
      <c r="I46">
        <v>0.03</v>
      </c>
      <c r="J46">
        <v>0</v>
      </c>
      <c r="K46">
        <v>3.97</v>
      </c>
      <c r="L46">
        <v>56.64</v>
      </c>
      <c r="M46">
        <v>1.8</v>
      </c>
      <c r="N46">
        <v>57.6</v>
      </c>
      <c r="O46" t="s">
        <v>1057</v>
      </c>
      <c r="P46">
        <v>0</v>
      </c>
    </row>
    <row r="47" spans="1:16" x14ac:dyDescent="0.25">
      <c r="A47" t="s">
        <v>151</v>
      </c>
      <c r="B47" t="s">
        <v>496</v>
      </c>
      <c r="C47" t="s">
        <v>1048</v>
      </c>
      <c r="D47" t="s">
        <v>1049</v>
      </c>
      <c r="E47" t="s">
        <v>20</v>
      </c>
      <c r="F47">
        <v>7.0780000000000003</v>
      </c>
      <c r="G47" t="s">
        <v>21</v>
      </c>
      <c r="H47">
        <v>1.77</v>
      </c>
      <c r="I47">
        <v>0.03</v>
      </c>
      <c r="J47">
        <v>0</v>
      </c>
      <c r="K47">
        <v>0.88</v>
      </c>
      <c r="L47">
        <v>12.53</v>
      </c>
      <c r="M47">
        <v>1.8</v>
      </c>
      <c r="N47">
        <v>12.74</v>
      </c>
      <c r="O47" t="s">
        <v>523</v>
      </c>
      <c r="P47">
        <v>0</v>
      </c>
    </row>
    <row r="48" spans="1:16" x14ac:dyDescent="0.25">
      <c r="A48" t="s">
        <v>151</v>
      </c>
      <c r="B48" t="s">
        <v>496</v>
      </c>
      <c r="C48" t="s">
        <v>1044</v>
      </c>
      <c r="D48" t="s">
        <v>1045</v>
      </c>
      <c r="E48" t="s">
        <v>20</v>
      </c>
      <c r="F48">
        <v>5.3719999999999901</v>
      </c>
      <c r="G48" t="s">
        <v>21</v>
      </c>
      <c r="H48">
        <v>1.77</v>
      </c>
      <c r="I48">
        <v>0.03</v>
      </c>
      <c r="J48">
        <v>0</v>
      </c>
      <c r="K48">
        <v>0.67</v>
      </c>
      <c r="L48">
        <v>9.51</v>
      </c>
      <c r="M48">
        <v>1.8</v>
      </c>
      <c r="N48">
        <v>9.67</v>
      </c>
      <c r="O48" t="s">
        <v>1078</v>
      </c>
      <c r="P48">
        <v>0</v>
      </c>
    </row>
    <row r="49" spans="1:16" x14ac:dyDescent="0.25">
      <c r="A49" t="s">
        <v>23</v>
      </c>
      <c r="B49" t="s">
        <v>496</v>
      </c>
      <c r="C49" t="s">
        <v>1058</v>
      </c>
      <c r="D49" t="s">
        <v>1059</v>
      </c>
      <c r="E49" t="s">
        <v>20</v>
      </c>
      <c r="F49">
        <v>22</v>
      </c>
      <c r="G49" t="s">
        <v>21</v>
      </c>
      <c r="H49">
        <v>1.77</v>
      </c>
      <c r="I49">
        <v>0.03</v>
      </c>
      <c r="J49">
        <v>0</v>
      </c>
      <c r="K49">
        <v>2.73</v>
      </c>
      <c r="L49">
        <v>38.94</v>
      </c>
      <c r="M49">
        <v>1.8</v>
      </c>
      <c r="N49">
        <v>39.6</v>
      </c>
      <c r="O49" t="s">
        <v>391</v>
      </c>
      <c r="P49">
        <v>0</v>
      </c>
    </row>
    <row r="50" spans="1:16" x14ac:dyDescent="0.25">
      <c r="A50" t="s">
        <v>23</v>
      </c>
      <c r="B50" t="s">
        <v>496</v>
      </c>
      <c r="C50" t="s">
        <v>1050</v>
      </c>
      <c r="D50" t="s">
        <v>1051</v>
      </c>
      <c r="E50" t="s">
        <v>20</v>
      </c>
      <c r="F50">
        <v>6</v>
      </c>
      <c r="G50" t="s">
        <v>21</v>
      </c>
      <c r="H50">
        <v>1.77</v>
      </c>
      <c r="I50">
        <v>0.03</v>
      </c>
      <c r="J50">
        <v>0</v>
      </c>
      <c r="K50">
        <v>0.74</v>
      </c>
      <c r="L50">
        <v>10.62</v>
      </c>
      <c r="M50">
        <v>1.8</v>
      </c>
      <c r="N50">
        <v>10.8</v>
      </c>
      <c r="O50" t="s">
        <v>198</v>
      </c>
      <c r="P50">
        <v>0</v>
      </c>
    </row>
    <row r="51" spans="1:16" x14ac:dyDescent="0.25">
      <c r="A51" t="s">
        <v>23</v>
      </c>
      <c r="B51" t="s">
        <v>103</v>
      </c>
      <c r="C51" t="s">
        <v>1063</v>
      </c>
      <c r="D51" t="s">
        <v>1064</v>
      </c>
      <c r="E51" t="s">
        <v>20</v>
      </c>
      <c r="F51">
        <v>36.450000000000003</v>
      </c>
      <c r="G51" t="s">
        <v>21</v>
      </c>
      <c r="H51">
        <v>1.77</v>
      </c>
      <c r="I51">
        <v>0.03</v>
      </c>
      <c r="J51">
        <v>0</v>
      </c>
      <c r="K51">
        <v>4.5199999999999996</v>
      </c>
      <c r="L51">
        <v>64.52</v>
      </c>
      <c r="M51">
        <v>1.8</v>
      </c>
      <c r="N51">
        <v>65.61</v>
      </c>
      <c r="O51" t="s">
        <v>930</v>
      </c>
      <c r="P51">
        <v>2112</v>
      </c>
    </row>
    <row r="55" spans="1:16" x14ac:dyDescent="0.25">
      <c r="F55">
        <f>SUM(F2:F54)</f>
        <v>1010.4689999999996</v>
      </c>
      <c r="L55">
        <f>SUM(L2:L54)</f>
        <v>1684.4200000000003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P13"/>
  <sheetViews>
    <sheetView workbookViewId="0">
      <selection activeCell="L23" sqref="L23"/>
    </sheetView>
  </sheetViews>
  <sheetFormatPr defaultColWidth="9" defaultRowHeight="15" x14ac:dyDescent="0.25"/>
  <cols>
    <col min="1" max="1" width="10.42578125" bestFit="1" customWidth="1"/>
    <col min="2" max="2" width="29.7109375" bestFit="1" customWidth="1"/>
    <col min="3" max="3" width="5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5">
      <c r="A2" s="3" t="s">
        <v>51</v>
      </c>
      <c r="B2" s="3" t="s">
        <v>17</v>
      </c>
      <c r="C2" s="3" t="s">
        <v>436</v>
      </c>
      <c r="D2" s="3" t="s">
        <v>1079</v>
      </c>
      <c r="E2" s="3" t="s">
        <v>30</v>
      </c>
      <c r="F2" s="3">
        <v>64.040999999999897</v>
      </c>
      <c r="G2" s="3" t="s">
        <v>21</v>
      </c>
      <c r="H2" s="3">
        <v>1.44</v>
      </c>
      <c r="I2" s="3">
        <v>0</v>
      </c>
      <c r="J2" s="3">
        <v>0.04</v>
      </c>
      <c r="K2" s="3">
        <v>2.56</v>
      </c>
      <c r="L2" s="3">
        <v>92.22</v>
      </c>
      <c r="M2" s="3">
        <v>1.48</v>
      </c>
      <c r="N2" s="3">
        <v>94.78</v>
      </c>
      <c r="O2" s="3" t="s">
        <v>94</v>
      </c>
      <c r="P2" s="3">
        <v>0</v>
      </c>
    </row>
    <row r="3" spans="1:16" s="3" customFormat="1" x14ac:dyDescent="0.25">
      <c r="A3" s="3" t="s">
        <v>107</v>
      </c>
      <c r="B3" s="3" t="s">
        <v>17</v>
      </c>
      <c r="C3" s="3" t="s">
        <v>436</v>
      </c>
      <c r="D3" s="3" t="s">
        <v>1079</v>
      </c>
      <c r="E3" s="3" t="s">
        <v>30</v>
      </c>
      <c r="F3" s="3">
        <v>36.813000000000002</v>
      </c>
      <c r="G3" s="3" t="s">
        <v>21</v>
      </c>
      <c r="H3" s="3">
        <v>1.44</v>
      </c>
      <c r="I3" s="3">
        <v>0</v>
      </c>
      <c r="J3" s="3">
        <v>0.04</v>
      </c>
      <c r="K3" s="3">
        <v>1.47</v>
      </c>
      <c r="L3" s="3">
        <v>53.01</v>
      </c>
      <c r="M3" s="3">
        <v>1.5</v>
      </c>
      <c r="N3" s="3">
        <v>55.22</v>
      </c>
      <c r="O3" s="3" t="s">
        <v>1080</v>
      </c>
      <c r="P3" s="3">
        <v>0</v>
      </c>
    </row>
    <row r="4" spans="1:16" s="3" customFormat="1" x14ac:dyDescent="0.25">
      <c r="A4" s="3" t="s">
        <v>324</v>
      </c>
      <c r="B4" s="3" t="s">
        <v>237</v>
      </c>
      <c r="C4" s="3" t="s">
        <v>1081</v>
      </c>
      <c r="D4" s="3" t="s">
        <v>1082</v>
      </c>
      <c r="E4" s="3" t="s">
        <v>30</v>
      </c>
      <c r="F4" s="3">
        <v>36.020000000000003</v>
      </c>
      <c r="G4" s="3" t="s">
        <v>21</v>
      </c>
      <c r="H4" s="3">
        <v>1.44</v>
      </c>
      <c r="I4" s="3">
        <v>0</v>
      </c>
      <c r="J4" s="3">
        <v>0.04</v>
      </c>
      <c r="K4" s="3">
        <v>1.44</v>
      </c>
      <c r="L4" s="3">
        <v>51.87</v>
      </c>
      <c r="M4" s="3">
        <v>1.5</v>
      </c>
      <c r="N4" s="3">
        <v>54.03</v>
      </c>
      <c r="O4" s="3" t="s">
        <v>541</v>
      </c>
      <c r="P4" s="3">
        <v>0</v>
      </c>
    </row>
    <row r="5" spans="1:16" s="3" customFormat="1" x14ac:dyDescent="0.25">
      <c r="A5" s="3" t="s">
        <v>158</v>
      </c>
      <c r="B5" s="3" t="s">
        <v>130</v>
      </c>
      <c r="C5" s="3" t="s">
        <v>436</v>
      </c>
      <c r="D5" s="3" t="s">
        <v>1079</v>
      </c>
      <c r="E5" s="3" t="s">
        <v>30</v>
      </c>
      <c r="F5" s="3">
        <v>68.212000000000003</v>
      </c>
      <c r="G5" s="3" t="s">
        <v>21</v>
      </c>
      <c r="H5" s="3">
        <v>1.45</v>
      </c>
      <c r="I5" s="3">
        <v>0</v>
      </c>
      <c r="J5" s="3">
        <v>0.04</v>
      </c>
      <c r="K5" s="3">
        <v>2.73</v>
      </c>
      <c r="L5" s="3">
        <v>98.91</v>
      </c>
      <c r="M5" s="3">
        <v>1.51</v>
      </c>
      <c r="N5" s="3">
        <v>103</v>
      </c>
      <c r="O5" s="3" t="s">
        <v>1083</v>
      </c>
      <c r="P5" s="3">
        <v>0</v>
      </c>
    </row>
    <row r="6" spans="1:16" s="3" customFormat="1" x14ac:dyDescent="0.25">
      <c r="A6" s="3" t="s">
        <v>70</v>
      </c>
      <c r="B6" s="3" t="s">
        <v>17</v>
      </c>
      <c r="C6" s="3" t="s">
        <v>436</v>
      </c>
      <c r="D6" s="3" t="s">
        <v>1079</v>
      </c>
      <c r="E6" s="3" t="s">
        <v>30</v>
      </c>
      <c r="F6" s="3">
        <v>65.179000000000002</v>
      </c>
      <c r="G6" s="3" t="s">
        <v>21</v>
      </c>
      <c r="H6" s="3">
        <v>1.45</v>
      </c>
      <c r="I6" s="3">
        <v>0</v>
      </c>
      <c r="J6" s="3">
        <v>0.04</v>
      </c>
      <c r="K6" s="3">
        <v>2.61</v>
      </c>
      <c r="L6" s="3">
        <v>94.51</v>
      </c>
      <c r="M6" s="3">
        <v>1.51</v>
      </c>
      <c r="N6" s="3">
        <v>98.42</v>
      </c>
      <c r="O6" s="3" t="s">
        <v>1084</v>
      </c>
      <c r="P6" s="3">
        <v>0</v>
      </c>
    </row>
    <row r="7" spans="1:16" s="3" customFormat="1" x14ac:dyDescent="0.25">
      <c r="A7" s="3" t="s">
        <v>77</v>
      </c>
      <c r="B7" s="3" t="s">
        <v>17</v>
      </c>
      <c r="C7" s="3" t="s">
        <v>436</v>
      </c>
      <c r="D7" s="3" t="s">
        <v>1079</v>
      </c>
      <c r="E7" s="3" t="s">
        <v>30</v>
      </c>
      <c r="F7" s="3">
        <v>61.49</v>
      </c>
      <c r="G7" s="3" t="s">
        <v>21</v>
      </c>
      <c r="H7" s="3">
        <v>1.44</v>
      </c>
      <c r="I7" s="3">
        <v>0</v>
      </c>
      <c r="J7" s="3">
        <v>0.04</v>
      </c>
      <c r="K7" s="3">
        <v>2.46</v>
      </c>
      <c r="L7" s="3">
        <v>88.55</v>
      </c>
      <c r="M7" s="3">
        <v>1.51</v>
      </c>
      <c r="N7" s="3">
        <v>92.85</v>
      </c>
      <c r="O7" s="3" t="s">
        <v>465</v>
      </c>
      <c r="P7" s="3">
        <v>0</v>
      </c>
    </row>
    <row r="8" spans="1:16" s="3" customFormat="1" x14ac:dyDescent="0.25">
      <c r="A8" s="3" t="s">
        <v>82</v>
      </c>
      <c r="B8" s="3" t="s">
        <v>217</v>
      </c>
      <c r="C8" s="3" t="s">
        <v>1081</v>
      </c>
      <c r="D8" s="3" t="s">
        <v>1082</v>
      </c>
      <c r="E8" s="3" t="s">
        <v>30</v>
      </c>
      <c r="F8" s="3">
        <v>36.722000000000001</v>
      </c>
      <c r="G8" s="3" t="s">
        <v>21</v>
      </c>
      <c r="H8" s="3">
        <v>1.43</v>
      </c>
      <c r="I8" s="3">
        <v>0</v>
      </c>
      <c r="J8" s="3">
        <v>0.04</v>
      </c>
      <c r="K8" s="3">
        <v>1.47</v>
      </c>
      <c r="L8" s="3">
        <v>52.51</v>
      </c>
      <c r="M8" s="3">
        <v>1.51</v>
      </c>
      <c r="N8" s="3">
        <v>55.45</v>
      </c>
      <c r="O8" s="3" t="s">
        <v>1085</v>
      </c>
      <c r="P8" s="3">
        <v>0</v>
      </c>
    </row>
    <row r="9" spans="1:16" s="3" customFormat="1" x14ac:dyDescent="0.25">
      <c r="A9" s="3" t="s">
        <v>16</v>
      </c>
      <c r="B9" s="3" t="s">
        <v>219</v>
      </c>
      <c r="C9" s="3" t="s">
        <v>1081</v>
      </c>
      <c r="D9" s="3" t="s">
        <v>1082</v>
      </c>
      <c r="E9" s="3" t="s">
        <v>30</v>
      </c>
      <c r="F9" s="3">
        <v>18.867999999999899</v>
      </c>
      <c r="G9" s="3" t="s">
        <v>21</v>
      </c>
      <c r="H9" s="3">
        <v>1.43</v>
      </c>
      <c r="I9" s="3">
        <v>0</v>
      </c>
      <c r="J9" s="3">
        <v>0.04</v>
      </c>
      <c r="K9" s="3">
        <v>0.75</v>
      </c>
      <c r="L9" s="3">
        <v>26.98</v>
      </c>
      <c r="M9" s="3">
        <v>1.51</v>
      </c>
      <c r="N9" s="3">
        <v>28.49</v>
      </c>
      <c r="O9" s="3" t="s">
        <v>266</v>
      </c>
      <c r="P9" s="3">
        <v>0</v>
      </c>
    </row>
    <row r="10" spans="1:16" s="3" customFormat="1" x14ac:dyDescent="0.25">
      <c r="A10" s="3" t="s">
        <v>86</v>
      </c>
      <c r="B10" s="3" t="s">
        <v>237</v>
      </c>
      <c r="C10" s="3" t="s">
        <v>1081</v>
      </c>
      <c r="D10" s="3" t="s">
        <v>1082</v>
      </c>
      <c r="E10" s="3" t="s">
        <v>30</v>
      </c>
      <c r="F10" s="3">
        <v>39.628999999999898</v>
      </c>
      <c r="G10" s="3" t="s">
        <v>21</v>
      </c>
      <c r="H10" s="3">
        <v>1.43</v>
      </c>
      <c r="I10" s="3">
        <v>0</v>
      </c>
      <c r="J10" s="3">
        <v>0.04</v>
      </c>
      <c r="K10" s="3">
        <v>1.59</v>
      </c>
      <c r="L10" s="3">
        <v>56.67</v>
      </c>
      <c r="M10" s="3">
        <v>1.51</v>
      </c>
      <c r="N10" s="3">
        <v>59.84</v>
      </c>
      <c r="O10" s="3" t="s">
        <v>1086</v>
      </c>
      <c r="P10" s="3">
        <v>0</v>
      </c>
    </row>
    <row r="13" spans="1:16" x14ac:dyDescent="0.25">
      <c r="F13">
        <f>SUM(F2:F12)</f>
        <v>426.97399999999965</v>
      </c>
      <c r="L13">
        <f>SUM(L2:L12)</f>
        <v>615.23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P66"/>
  <sheetViews>
    <sheetView topLeftCell="A37" workbookViewId="0">
      <selection activeCell="F48" sqref="F48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10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32</v>
      </c>
      <c r="C2" t="s">
        <v>1087</v>
      </c>
      <c r="D2" t="s">
        <v>1088</v>
      </c>
      <c r="E2" t="s">
        <v>20</v>
      </c>
      <c r="F2">
        <v>40</v>
      </c>
      <c r="G2" t="s">
        <v>21</v>
      </c>
      <c r="H2">
        <v>1.65</v>
      </c>
      <c r="I2">
        <v>0</v>
      </c>
      <c r="J2">
        <v>0</v>
      </c>
      <c r="K2">
        <v>0.12</v>
      </c>
      <c r="L2">
        <v>66</v>
      </c>
      <c r="M2">
        <v>1.69</v>
      </c>
      <c r="N2">
        <v>67.599999999999994</v>
      </c>
      <c r="O2" t="s">
        <v>1089</v>
      </c>
      <c r="P2">
        <v>0</v>
      </c>
    </row>
    <row r="3" spans="1:16" x14ac:dyDescent="0.25">
      <c r="A3" t="s">
        <v>42</v>
      </c>
      <c r="B3" t="s">
        <v>130</v>
      </c>
      <c r="C3" t="s">
        <v>1090</v>
      </c>
      <c r="D3" t="s">
        <v>1091</v>
      </c>
      <c r="E3" t="s">
        <v>20</v>
      </c>
      <c r="F3">
        <v>58.959000000000003</v>
      </c>
      <c r="G3" t="s">
        <v>21</v>
      </c>
      <c r="H3">
        <v>1.65</v>
      </c>
      <c r="I3">
        <v>0</v>
      </c>
      <c r="J3">
        <v>0</v>
      </c>
      <c r="K3">
        <v>0.18</v>
      </c>
      <c r="L3">
        <v>97.28</v>
      </c>
      <c r="M3">
        <v>1.69</v>
      </c>
      <c r="N3">
        <v>99.64</v>
      </c>
      <c r="O3" t="s">
        <v>387</v>
      </c>
      <c r="P3">
        <v>0</v>
      </c>
    </row>
    <row r="4" spans="1:16" x14ac:dyDescent="0.25">
      <c r="A4" t="s">
        <v>51</v>
      </c>
      <c r="B4" t="s">
        <v>749</v>
      </c>
      <c r="C4" t="s">
        <v>1092</v>
      </c>
      <c r="D4" t="s">
        <v>1093</v>
      </c>
      <c r="E4" t="s">
        <v>20</v>
      </c>
      <c r="F4">
        <v>97.052999999999898</v>
      </c>
      <c r="G4" t="s">
        <v>21</v>
      </c>
      <c r="H4">
        <v>1.65</v>
      </c>
      <c r="I4">
        <v>0</v>
      </c>
      <c r="J4">
        <v>0</v>
      </c>
      <c r="K4">
        <v>0.28999999999999998</v>
      </c>
      <c r="L4">
        <v>160.13999999999999</v>
      </c>
      <c r="M4">
        <v>1.7</v>
      </c>
      <c r="N4">
        <v>164.99</v>
      </c>
      <c r="O4" t="s">
        <v>268</v>
      </c>
      <c r="P4">
        <v>0</v>
      </c>
    </row>
    <row r="5" spans="1:16" x14ac:dyDescent="0.25">
      <c r="A5" t="s">
        <v>56</v>
      </c>
      <c r="B5" t="s">
        <v>293</v>
      </c>
      <c r="C5" t="s">
        <v>1094</v>
      </c>
      <c r="D5" t="s">
        <v>1095</v>
      </c>
      <c r="E5" t="s">
        <v>20</v>
      </c>
      <c r="F5">
        <v>56.412999999999897</v>
      </c>
      <c r="G5" t="s">
        <v>21</v>
      </c>
      <c r="H5">
        <v>1.65</v>
      </c>
      <c r="I5">
        <v>0</v>
      </c>
      <c r="J5">
        <v>0</v>
      </c>
      <c r="K5">
        <v>0.17</v>
      </c>
      <c r="L5">
        <v>93.08</v>
      </c>
      <c r="M5">
        <v>1.72</v>
      </c>
      <c r="N5">
        <v>97.03</v>
      </c>
      <c r="O5" t="s">
        <v>644</v>
      </c>
      <c r="P5">
        <v>0</v>
      </c>
    </row>
    <row r="6" spans="1:16" x14ac:dyDescent="0.25">
      <c r="A6" t="s">
        <v>56</v>
      </c>
      <c r="B6" t="s">
        <v>130</v>
      </c>
      <c r="C6" t="s">
        <v>1090</v>
      </c>
      <c r="D6" t="s">
        <v>1091</v>
      </c>
      <c r="E6" t="s">
        <v>20</v>
      </c>
      <c r="F6">
        <v>31.081</v>
      </c>
      <c r="G6" t="s">
        <v>21</v>
      </c>
      <c r="H6">
        <v>1.65</v>
      </c>
      <c r="I6">
        <v>0</v>
      </c>
      <c r="J6">
        <v>0</v>
      </c>
      <c r="K6">
        <v>0.09</v>
      </c>
      <c r="L6">
        <v>51.28</v>
      </c>
      <c r="M6">
        <v>1.72</v>
      </c>
      <c r="N6">
        <v>53.46</v>
      </c>
      <c r="O6" t="s">
        <v>1096</v>
      </c>
      <c r="P6">
        <v>0</v>
      </c>
    </row>
    <row r="7" spans="1:16" x14ac:dyDescent="0.25">
      <c r="A7" t="s">
        <v>427</v>
      </c>
      <c r="B7" t="s">
        <v>130</v>
      </c>
      <c r="C7" t="s">
        <v>1090</v>
      </c>
      <c r="D7" t="s">
        <v>1091</v>
      </c>
      <c r="E7" t="s">
        <v>20</v>
      </c>
      <c r="F7">
        <v>47.362000000000002</v>
      </c>
      <c r="G7" t="s">
        <v>21</v>
      </c>
      <c r="H7">
        <v>1.69</v>
      </c>
      <c r="I7">
        <v>0</v>
      </c>
      <c r="J7">
        <v>0.01</v>
      </c>
      <c r="K7">
        <v>0.47</v>
      </c>
      <c r="L7">
        <v>80.040000000000006</v>
      </c>
      <c r="M7">
        <v>1.74</v>
      </c>
      <c r="N7">
        <v>82.41</v>
      </c>
      <c r="O7" t="s">
        <v>1097</v>
      </c>
      <c r="P7">
        <v>0</v>
      </c>
    </row>
    <row r="8" spans="1:16" x14ac:dyDescent="0.25">
      <c r="A8" t="s">
        <v>185</v>
      </c>
      <c r="B8" t="s">
        <v>17</v>
      </c>
      <c r="C8" t="s">
        <v>1092</v>
      </c>
      <c r="D8" t="s">
        <v>1093</v>
      </c>
      <c r="E8" t="s">
        <v>20</v>
      </c>
      <c r="F8">
        <v>0.118999999999999</v>
      </c>
      <c r="G8" t="s">
        <v>21</v>
      </c>
      <c r="H8">
        <v>1.73</v>
      </c>
      <c r="I8">
        <v>0</v>
      </c>
      <c r="J8">
        <v>0.01</v>
      </c>
      <c r="K8">
        <v>0</v>
      </c>
      <c r="L8">
        <v>0.21</v>
      </c>
      <c r="M8">
        <v>1.76</v>
      </c>
      <c r="N8">
        <v>0.21</v>
      </c>
      <c r="O8" t="s">
        <v>1098</v>
      </c>
      <c r="P8">
        <v>0</v>
      </c>
    </row>
    <row r="9" spans="1:16" x14ac:dyDescent="0.25">
      <c r="A9" t="s">
        <v>185</v>
      </c>
      <c r="B9" t="s">
        <v>17</v>
      </c>
      <c r="C9" t="s">
        <v>1092</v>
      </c>
      <c r="D9" t="s">
        <v>1093</v>
      </c>
      <c r="E9" t="s">
        <v>30</v>
      </c>
      <c r="F9">
        <v>30.193000000000001</v>
      </c>
      <c r="G9" t="s">
        <v>21</v>
      </c>
      <c r="H9">
        <v>1.43</v>
      </c>
      <c r="I9">
        <v>0</v>
      </c>
      <c r="J9">
        <v>0.03</v>
      </c>
      <c r="K9">
        <v>0.91</v>
      </c>
      <c r="L9">
        <v>43.18</v>
      </c>
      <c r="M9">
        <v>1.5</v>
      </c>
      <c r="N9">
        <v>45.29</v>
      </c>
      <c r="O9" t="s">
        <v>1098</v>
      </c>
      <c r="P9">
        <v>0</v>
      </c>
    </row>
    <row r="10" spans="1:16" x14ac:dyDescent="0.25">
      <c r="A10" t="s">
        <v>185</v>
      </c>
      <c r="B10" t="s">
        <v>17</v>
      </c>
      <c r="C10" t="s">
        <v>1092</v>
      </c>
      <c r="D10" t="s">
        <v>1093</v>
      </c>
      <c r="E10" t="s">
        <v>20</v>
      </c>
      <c r="F10">
        <v>56.698999999999899</v>
      </c>
      <c r="G10" t="s">
        <v>21</v>
      </c>
      <c r="H10">
        <v>1.73</v>
      </c>
      <c r="I10">
        <v>0</v>
      </c>
      <c r="J10">
        <v>0.01</v>
      </c>
      <c r="K10">
        <v>0.56999999999999995</v>
      </c>
      <c r="L10">
        <v>98.09</v>
      </c>
      <c r="M10">
        <v>1.76</v>
      </c>
      <c r="N10">
        <v>99.79</v>
      </c>
      <c r="O10" t="s">
        <v>1099</v>
      </c>
      <c r="P10">
        <v>0</v>
      </c>
    </row>
    <row r="11" spans="1:16" x14ac:dyDescent="0.25">
      <c r="A11" t="s">
        <v>185</v>
      </c>
      <c r="B11" t="s">
        <v>17</v>
      </c>
      <c r="C11" t="s">
        <v>1092</v>
      </c>
      <c r="D11" t="s">
        <v>1093</v>
      </c>
      <c r="E11" t="s">
        <v>30</v>
      </c>
      <c r="F11">
        <v>29.079999999999899</v>
      </c>
      <c r="G11" t="s">
        <v>21</v>
      </c>
      <c r="H11">
        <v>1.43</v>
      </c>
      <c r="I11">
        <v>0</v>
      </c>
      <c r="J11">
        <v>0.03</v>
      </c>
      <c r="K11">
        <v>0.87</v>
      </c>
      <c r="L11">
        <v>41.58</v>
      </c>
      <c r="M11">
        <v>1.5</v>
      </c>
      <c r="N11">
        <v>43.62</v>
      </c>
      <c r="O11" t="s">
        <v>1100</v>
      </c>
      <c r="P11">
        <v>0</v>
      </c>
    </row>
    <row r="12" spans="1:16" x14ac:dyDescent="0.25">
      <c r="A12" t="s">
        <v>185</v>
      </c>
      <c r="B12" t="s">
        <v>32</v>
      </c>
      <c r="C12" t="s">
        <v>1101</v>
      </c>
      <c r="D12" t="s">
        <v>1102</v>
      </c>
      <c r="E12" t="s">
        <v>20</v>
      </c>
      <c r="F12">
        <v>47.101999999999897</v>
      </c>
      <c r="G12" t="s">
        <v>21</v>
      </c>
      <c r="H12">
        <v>1.73</v>
      </c>
      <c r="I12">
        <v>0</v>
      </c>
      <c r="J12">
        <v>0.01</v>
      </c>
      <c r="K12">
        <v>0.47</v>
      </c>
      <c r="L12">
        <v>81.489999999999995</v>
      </c>
      <c r="M12">
        <v>1.76</v>
      </c>
      <c r="N12">
        <v>82.9</v>
      </c>
      <c r="O12" t="s">
        <v>764</v>
      </c>
      <c r="P12">
        <v>0</v>
      </c>
    </row>
    <row r="13" spans="1:16" x14ac:dyDescent="0.25">
      <c r="A13" t="s">
        <v>185</v>
      </c>
      <c r="B13" t="s">
        <v>293</v>
      </c>
      <c r="C13" t="s">
        <v>1101</v>
      </c>
      <c r="D13" t="s">
        <v>1102</v>
      </c>
      <c r="E13" t="s">
        <v>20</v>
      </c>
      <c r="F13">
        <v>128.289999999999</v>
      </c>
      <c r="G13" t="s">
        <v>21</v>
      </c>
      <c r="H13">
        <v>1.73</v>
      </c>
      <c r="I13">
        <v>0</v>
      </c>
      <c r="J13">
        <v>0.01</v>
      </c>
      <c r="K13">
        <v>1.28</v>
      </c>
      <c r="L13">
        <v>221.94</v>
      </c>
      <c r="M13">
        <v>1.76</v>
      </c>
      <c r="N13">
        <v>225.79</v>
      </c>
      <c r="O13" t="s">
        <v>1083</v>
      </c>
      <c r="P13">
        <v>0</v>
      </c>
    </row>
    <row r="14" spans="1:16" x14ac:dyDescent="0.25">
      <c r="A14" t="s">
        <v>58</v>
      </c>
      <c r="B14" t="s">
        <v>32</v>
      </c>
      <c r="C14" t="s">
        <v>1103</v>
      </c>
      <c r="D14" t="s">
        <v>1104</v>
      </c>
      <c r="E14" t="s">
        <v>20</v>
      </c>
      <c r="F14">
        <v>100</v>
      </c>
      <c r="G14" t="s">
        <v>21</v>
      </c>
      <c r="H14">
        <v>1.73</v>
      </c>
      <c r="I14">
        <v>0</v>
      </c>
      <c r="J14">
        <v>0.01</v>
      </c>
      <c r="K14">
        <v>1</v>
      </c>
      <c r="L14">
        <v>173</v>
      </c>
      <c r="M14">
        <v>1.76</v>
      </c>
      <c r="N14">
        <v>176</v>
      </c>
      <c r="O14" t="s">
        <v>1105</v>
      </c>
      <c r="P14">
        <v>0</v>
      </c>
    </row>
    <row r="15" spans="1:16" x14ac:dyDescent="0.25">
      <c r="A15" t="s">
        <v>58</v>
      </c>
      <c r="B15" t="s">
        <v>293</v>
      </c>
      <c r="C15" t="s">
        <v>1094</v>
      </c>
      <c r="D15" t="s">
        <v>1095</v>
      </c>
      <c r="E15" t="s">
        <v>20</v>
      </c>
      <c r="F15">
        <v>34.091000000000001</v>
      </c>
      <c r="G15" t="s">
        <v>21</v>
      </c>
      <c r="H15">
        <v>1.73</v>
      </c>
      <c r="I15">
        <v>0</v>
      </c>
      <c r="J15">
        <v>0.01</v>
      </c>
      <c r="K15">
        <v>0.34</v>
      </c>
      <c r="L15">
        <v>58.98</v>
      </c>
      <c r="M15">
        <v>1.76</v>
      </c>
      <c r="N15">
        <v>60</v>
      </c>
      <c r="O15" t="s">
        <v>41</v>
      </c>
      <c r="P15">
        <v>0</v>
      </c>
    </row>
    <row r="16" spans="1:16" x14ac:dyDescent="0.25">
      <c r="A16" t="s">
        <v>58</v>
      </c>
      <c r="B16" t="s">
        <v>293</v>
      </c>
      <c r="C16" t="s">
        <v>1092</v>
      </c>
      <c r="D16" t="s">
        <v>1093</v>
      </c>
      <c r="E16" t="s">
        <v>20</v>
      </c>
      <c r="F16">
        <v>78.659000000000006</v>
      </c>
      <c r="G16" t="s">
        <v>21</v>
      </c>
      <c r="H16">
        <v>1.73</v>
      </c>
      <c r="I16">
        <v>0</v>
      </c>
      <c r="J16">
        <v>0.01</v>
      </c>
      <c r="K16">
        <v>0.79</v>
      </c>
      <c r="L16">
        <v>136.08000000000001</v>
      </c>
      <c r="M16">
        <v>1.76</v>
      </c>
      <c r="N16">
        <v>138.44</v>
      </c>
      <c r="O16" t="s">
        <v>41</v>
      </c>
      <c r="P16">
        <v>0</v>
      </c>
    </row>
    <row r="17" spans="1:16" x14ac:dyDescent="0.25">
      <c r="A17" t="s">
        <v>111</v>
      </c>
      <c r="B17" t="s">
        <v>293</v>
      </c>
      <c r="C17" t="s">
        <v>1094</v>
      </c>
      <c r="D17" t="s">
        <v>1095</v>
      </c>
      <c r="E17" t="s">
        <v>20</v>
      </c>
      <c r="F17">
        <v>64</v>
      </c>
      <c r="G17" t="s">
        <v>21</v>
      </c>
      <c r="H17">
        <v>1.73</v>
      </c>
      <c r="I17">
        <v>0</v>
      </c>
      <c r="J17">
        <v>0.01</v>
      </c>
      <c r="K17">
        <v>0.64</v>
      </c>
      <c r="L17">
        <v>110.72</v>
      </c>
      <c r="M17">
        <v>1.77</v>
      </c>
      <c r="N17">
        <v>113.28</v>
      </c>
      <c r="O17" t="s">
        <v>170</v>
      </c>
      <c r="P17">
        <v>0</v>
      </c>
    </row>
    <row r="18" spans="1:16" x14ac:dyDescent="0.25">
      <c r="A18" t="s">
        <v>111</v>
      </c>
      <c r="B18" t="s">
        <v>293</v>
      </c>
      <c r="C18" t="s">
        <v>1092</v>
      </c>
      <c r="D18" t="s">
        <v>1093</v>
      </c>
      <c r="E18" t="s">
        <v>30</v>
      </c>
      <c r="F18">
        <v>20.873000000000001</v>
      </c>
      <c r="G18" t="s">
        <v>21</v>
      </c>
      <c r="H18">
        <v>1.43</v>
      </c>
      <c r="I18">
        <v>0</v>
      </c>
      <c r="J18">
        <v>0.03</v>
      </c>
      <c r="K18">
        <v>0.63</v>
      </c>
      <c r="L18">
        <v>29.85</v>
      </c>
      <c r="M18">
        <v>1.5</v>
      </c>
      <c r="N18">
        <v>31.31</v>
      </c>
      <c r="O18" t="s">
        <v>1106</v>
      </c>
      <c r="P18">
        <v>0</v>
      </c>
    </row>
    <row r="19" spans="1:16" x14ac:dyDescent="0.25">
      <c r="A19" t="s">
        <v>111</v>
      </c>
      <c r="B19" t="s">
        <v>130</v>
      </c>
      <c r="C19" t="s">
        <v>1107</v>
      </c>
      <c r="D19" t="s">
        <v>1108</v>
      </c>
      <c r="E19" t="s">
        <v>20</v>
      </c>
      <c r="F19">
        <v>50.938000000000002</v>
      </c>
      <c r="G19" t="s">
        <v>21</v>
      </c>
      <c r="H19">
        <v>1.73</v>
      </c>
      <c r="I19">
        <v>0</v>
      </c>
      <c r="J19">
        <v>0.01</v>
      </c>
      <c r="K19">
        <v>0.51</v>
      </c>
      <c r="L19">
        <v>88.12</v>
      </c>
      <c r="M19">
        <v>1.77</v>
      </c>
      <c r="N19">
        <v>90.16</v>
      </c>
      <c r="O19" t="s">
        <v>1109</v>
      </c>
      <c r="P19">
        <v>0</v>
      </c>
    </row>
    <row r="20" spans="1:16" x14ac:dyDescent="0.25">
      <c r="A20" t="s">
        <v>111</v>
      </c>
      <c r="B20" t="s">
        <v>130</v>
      </c>
      <c r="C20" t="s">
        <v>1110</v>
      </c>
      <c r="D20" t="s">
        <v>1111</v>
      </c>
      <c r="E20" t="s">
        <v>20</v>
      </c>
      <c r="F20">
        <v>60.158000000000001</v>
      </c>
      <c r="G20" t="s">
        <v>21</v>
      </c>
      <c r="H20">
        <v>1.73</v>
      </c>
      <c r="I20">
        <v>0</v>
      </c>
      <c r="J20">
        <v>0.01</v>
      </c>
      <c r="K20">
        <v>0.6</v>
      </c>
      <c r="L20">
        <v>104.07</v>
      </c>
      <c r="M20">
        <v>1.77</v>
      </c>
      <c r="N20">
        <v>106.48</v>
      </c>
      <c r="O20" t="s">
        <v>1112</v>
      </c>
      <c r="P20">
        <v>0</v>
      </c>
    </row>
    <row r="21" spans="1:16" x14ac:dyDescent="0.25">
      <c r="A21" t="s">
        <v>66</v>
      </c>
      <c r="B21" t="s">
        <v>32</v>
      </c>
      <c r="C21" t="s">
        <v>1101</v>
      </c>
      <c r="D21" t="s">
        <v>1102</v>
      </c>
      <c r="E21" t="s">
        <v>20</v>
      </c>
      <c r="F21">
        <v>117.441</v>
      </c>
      <c r="G21" t="s">
        <v>21</v>
      </c>
      <c r="H21">
        <v>1.73</v>
      </c>
      <c r="I21">
        <v>0</v>
      </c>
      <c r="J21">
        <v>0.02</v>
      </c>
      <c r="K21">
        <v>2.35</v>
      </c>
      <c r="L21">
        <v>203.17</v>
      </c>
      <c r="M21">
        <v>1.77</v>
      </c>
      <c r="N21">
        <v>207.87</v>
      </c>
      <c r="O21" t="s">
        <v>225</v>
      </c>
      <c r="P21">
        <v>0</v>
      </c>
    </row>
    <row r="22" spans="1:16" x14ac:dyDescent="0.25">
      <c r="A22" t="s">
        <v>66</v>
      </c>
      <c r="B22" t="s">
        <v>293</v>
      </c>
      <c r="C22" t="s">
        <v>1092</v>
      </c>
      <c r="D22" t="s">
        <v>1093</v>
      </c>
      <c r="E22" t="s">
        <v>20</v>
      </c>
      <c r="F22">
        <v>79.287999999999897</v>
      </c>
      <c r="G22" t="s">
        <v>21</v>
      </c>
      <c r="H22">
        <v>1.73</v>
      </c>
      <c r="I22">
        <v>0</v>
      </c>
      <c r="J22">
        <v>0.02</v>
      </c>
      <c r="K22">
        <v>1.59</v>
      </c>
      <c r="L22">
        <v>137.16999999999999</v>
      </c>
      <c r="M22">
        <v>1.77</v>
      </c>
      <c r="N22">
        <v>140.34</v>
      </c>
      <c r="O22" t="s">
        <v>488</v>
      </c>
      <c r="P22">
        <v>0</v>
      </c>
    </row>
    <row r="23" spans="1:16" x14ac:dyDescent="0.25">
      <c r="A23" t="s">
        <v>66</v>
      </c>
      <c r="B23" t="s">
        <v>293</v>
      </c>
      <c r="C23" t="s">
        <v>1092</v>
      </c>
      <c r="D23" t="s">
        <v>1093</v>
      </c>
      <c r="E23" t="s">
        <v>30</v>
      </c>
      <c r="F23">
        <v>10.1199999999999</v>
      </c>
      <c r="G23" t="s">
        <v>21</v>
      </c>
      <c r="H23">
        <v>1.43</v>
      </c>
      <c r="I23">
        <v>0</v>
      </c>
      <c r="J23">
        <v>0.03</v>
      </c>
      <c r="K23">
        <v>0.3</v>
      </c>
      <c r="L23">
        <v>14.47</v>
      </c>
      <c r="M23">
        <v>1.5</v>
      </c>
      <c r="N23">
        <v>15.18</v>
      </c>
      <c r="O23" t="s">
        <v>1113</v>
      </c>
      <c r="P23">
        <v>0</v>
      </c>
    </row>
    <row r="24" spans="1:16" x14ac:dyDescent="0.25">
      <c r="A24" t="s">
        <v>324</v>
      </c>
      <c r="B24" t="s">
        <v>32</v>
      </c>
      <c r="C24" t="s">
        <v>1101</v>
      </c>
      <c r="D24" t="s">
        <v>1102</v>
      </c>
      <c r="E24" t="s">
        <v>20</v>
      </c>
      <c r="F24">
        <v>60.909999999999897</v>
      </c>
      <c r="G24" t="s">
        <v>21</v>
      </c>
      <c r="H24">
        <v>1.73</v>
      </c>
      <c r="I24">
        <v>0</v>
      </c>
      <c r="J24">
        <v>0.02</v>
      </c>
      <c r="K24">
        <v>1.22</v>
      </c>
      <c r="L24">
        <v>105.37</v>
      </c>
      <c r="M24">
        <v>1.77</v>
      </c>
      <c r="N24">
        <v>107.81</v>
      </c>
      <c r="O24" t="s">
        <v>1114</v>
      </c>
      <c r="P24">
        <v>0</v>
      </c>
    </row>
    <row r="25" spans="1:16" x14ac:dyDescent="0.25">
      <c r="A25" t="s">
        <v>158</v>
      </c>
      <c r="B25" t="s">
        <v>17</v>
      </c>
      <c r="C25" t="s">
        <v>1115</v>
      </c>
      <c r="D25" t="s">
        <v>1116</v>
      </c>
      <c r="E25" t="s">
        <v>20</v>
      </c>
      <c r="F25">
        <v>33.558999999999898</v>
      </c>
      <c r="G25" t="s">
        <v>21</v>
      </c>
      <c r="H25">
        <v>1.76</v>
      </c>
      <c r="I25">
        <v>0</v>
      </c>
      <c r="J25">
        <v>0.02</v>
      </c>
      <c r="K25">
        <v>0.67</v>
      </c>
      <c r="L25">
        <v>59.06</v>
      </c>
      <c r="M25">
        <v>1.79</v>
      </c>
      <c r="N25">
        <v>60.07</v>
      </c>
      <c r="O25" t="s">
        <v>156</v>
      </c>
      <c r="P25">
        <v>0</v>
      </c>
    </row>
    <row r="26" spans="1:16" x14ac:dyDescent="0.25">
      <c r="A26" t="s">
        <v>136</v>
      </c>
      <c r="B26" t="s">
        <v>17</v>
      </c>
      <c r="C26" t="s">
        <v>1101</v>
      </c>
      <c r="D26" t="s">
        <v>1102</v>
      </c>
      <c r="E26" t="s">
        <v>20</v>
      </c>
      <c r="F26">
        <v>97.837999999999894</v>
      </c>
      <c r="G26" t="s">
        <v>21</v>
      </c>
      <c r="H26">
        <v>1.76</v>
      </c>
      <c r="I26">
        <v>0</v>
      </c>
      <c r="J26">
        <v>0.02</v>
      </c>
      <c r="K26">
        <v>1.96</v>
      </c>
      <c r="L26">
        <v>172.19</v>
      </c>
      <c r="M26">
        <v>1.79</v>
      </c>
      <c r="N26">
        <v>175.13</v>
      </c>
      <c r="O26" t="s">
        <v>958</v>
      </c>
      <c r="P26">
        <v>0</v>
      </c>
    </row>
    <row r="27" spans="1:16" x14ac:dyDescent="0.25">
      <c r="A27" t="s">
        <v>136</v>
      </c>
      <c r="B27" t="s">
        <v>32</v>
      </c>
      <c r="C27" t="s">
        <v>1101</v>
      </c>
      <c r="D27" t="s">
        <v>1102</v>
      </c>
      <c r="E27" t="s">
        <v>20</v>
      </c>
      <c r="F27">
        <v>62.084000000000003</v>
      </c>
      <c r="G27" t="s">
        <v>21</v>
      </c>
      <c r="H27">
        <v>1.76</v>
      </c>
      <c r="I27">
        <v>0</v>
      </c>
      <c r="J27">
        <v>0.02</v>
      </c>
      <c r="K27">
        <v>1.24</v>
      </c>
      <c r="L27">
        <v>109.27</v>
      </c>
      <c r="M27">
        <v>1.79</v>
      </c>
      <c r="N27">
        <v>111.13</v>
      </c>
      <c r="O27" t="s">
        <v>1117</v>
      </c>
      <c r="P27">
        <v>0</v>
      </c>
    </row>
    <row r="28" spans="1:16" x14ac:dyDescent="0.25">
      <c r="A28" t="s">
        <v>136</v>
      </c>
      <c r="B28" t="s">
        <v>32</v>
      </c>
      <c r="C28" t="s">
        <v>1118</v>
      </c>
      <c r="D28" t="s">
        <v>1119</v>
      </c>
      <c r="E28" t="s">
        <v>30</v>
      </c>
      <c r="F28">
        <v>49.390999999999899</v>
      </c>
      <c r="G28" t="s">
        <v>21</v>
      </c>
      <c r="H28">
        <v>1.44</v>
      </c>
      <c r="I28">
        <v>0</v>
      </c>
      <c r="J28">
        <v>0.03</v>
      </c>
      <c r="K28">
        <v>1.48</v>
      </c>
      <c r="L28">
        <v>71.12</v>
      </c>
      <c r="M28">
        <v>1.51</v>
      </c>
      <c r="N28">
        <v>74.58</v>
      </c>
      <c r="O28" t="s">
        <v>325</v>
      </c>
      <c r="P28">
        <v>0</v>
      </c>
    </row>
    <row r="29" spans="1:16" x14ac:dyDescent="0.25">
      <c r="A29" t="s">
        <v>136</v>
      </c>
      <c r="B29" t="s">
        <v>32</v>
      </c>
      <c r="C29" t="s">
        <v>1103</v>
      </c>
      <c r="D29" t="s">
        <v>1104</v>
      </c>
      <c r="E29" t="s">
        <v>20</v>
      </c>
      <c r="F29">
        <v>73.200999999999894</v>
      </c>
      <c r="G29" t="s">
        <v>21</v>
      </c>
      <c r="H29">
        <v>1.76</v>
      </c>
      <c r="I29">
        <v>0</v>
      </c>
      <c r="J29">
        <v>0.02</v>
      </c>
      <c r="K29">
        <v>1.46</v>
      </c>
      <c r="L29">
        <v>128.83000000000001</v>
      </c>
      <c r="M29">
        <v>1.79</v>
      </c>
      <c r="N29">
        <v>131.03</v>
      </c>
      <c r="O29" t="s">
        <v>1120</v>
      </c>
      <c r="P29">
        <v>0</v>
      </c>
    </row>
    <row r="30" spans="1:16" x14ac:dyDescent="0.25">
      <c r="A30" t="s">
        <v>136</v>
      </c>
      <c r="B30" t="s">
        <v>293</v>
      </c>
      <c r="C30" t="s">
        <v>1092</v>
      </c>
      <c r="D30" t="s">
        <v>1093</v>
      </c>
      <c r="E30" t="s">
        <v>30</v>
      </c>
      <c r="F30">
        <v>40</v>
      </c>
      <c r="G30" t="s">
        <v>21</v>
      </c>
      <c r="H30">
        <v>1.44</v>
      </c>
      <c r="I30">
        <v>0</v>
      </c>
      <c r="J30">
        <v>0.03</v>
      </c>
      <c r="K30">
        <v>1.2</v>
      </c>
      <c r="L30">
        <v>57.6</v>
      </c>
      <c r="M30">
        <v>1.51</v>
      </c>
      <c r="N30">
        <v>60.4</v>
      </c>
      <c r="O30" t="s">
        <v>1121</v>
      </c>
      <c r="P30">
        <v>0</v>
      </c>
    </row>
    <row r="31" spans="1:16" x14ac:dyDescent="0.25">
      <c r="A31" t="s">
        <v>136</v>
      </c>
      <c r="B31" t="s">
        <v>130</v>
      </c>
      <c r="C31" t="s">
        <v>1090</v>
      </c>
      <c r="D31" t="s">
        <v>1091</v>
      </c>
      <c r="E31" t="s">
        <v>20</v>
      </c>
      <c r="F31">
        <v>102.16800000000001</v>
      </c>
      <c r="G31" t="s">
        <v>21</v>
      </c>
      <c r="H31">
        <v>1.76</v>
      </c>
      <c r="I31">
        <v>0</v>
      </c>
      <c r="J31">
        <v>0.02</v>
      </c>
      <c r="K31">
        <v>2.04</v>
      </c>
      <c r="L31">
        <v>179.82</v>
      </c>
      <c r="M31">
        <v>1.79</v>
      </c>
      <c r="N31">
        <v>182.88</v>
      </c>
      <c r="O31" t="s">
        <v>920</v>
      </c>
      <c r="P31">
        <v>0</v>
      </c>
    </row>
    <row r="32" spans="1:16" x14ac:dyDescent="0.25">
      <c r="A32" t="s">
        <v>114</v>
      </c>
      <c r="B32" t="s">
        <v>32</v>
      </c>
      <c r="C32" t="s">
        <v>1103</v>
      </c>
      <c r="D32" t="s">
        <v>1104</v>
      </c>
      <c r="E32" t="s">
        <v>20</v>
      </c>
      <c r="F32">
        <v>40.2289999999999</v>
      </c>
      <c r="G32" t="s">
        <v>21</v>
      </c>
      <c r="H32">
        <v>1.76</v>
      </c>
      <c r="I32">
        <v>0</v>
      </c>
      <c r="J32">
        <v>0.02</v>
      </c>
      <c r="K32">
        <v>0.8</v>
      </c>
      <c r="L32">
        <v>70.8</v>
      </c>
      <c r="M32">
        <v>1.79</v>
      </c>
      <c r="N32">
        <v>72.010000000000005</v>
      </c>
      <c r="O32" t="s">
        <v>1122</v>
      </c>
      <c r="P32">
        <v>0</v>
      </c>
    </row>
    <row r="33" spans="1:16" x14ac:dyDescent="0.25">
      <c r="A33" t="s">
        <v>70</v>
      </c>
      <c r="B33" t="s">
        <v>17</v>
      </c>
      <c r="C33" t="s">
        <v>428</v>
      </c>
      <c r="D33" t="s">
        <v>1123</v>
      </c>
      <c r="E33" t="s">
        <v>30</v>
      </c>
      <c r="F33">
        <v>23.768000000000001</v>
      </c>
      <c r="G33" t="s">
        <v>21</v>
      </c>
      <c r="H33">
        <v>1.44</v>
      </c>
      <c r="I33">
        <v>0</v>
      </c>
      <c r="J33">
        <v>0.03</v>
      </c>
      <c r="K33">
        <v>0.71</v>
      </c>
      <c r="L33">
        <v>34.229999999999997</v>
      </c>
      <c r="M33">
        <v>1.51</v>
      </c>
      <c r="N33">
        <v>35.89</v>
      </c>
      <c r="O33" t="s">
        <v>1124</v>
      </c>
      <c r="P33">
        <v>0</v>
      </c>
    </row>
    <row r="34" spans="1:16" x14ac:dyDescent="0.25">
      <c r="A34" t="s">
        <v>70</v>
      </c>
      <c r="B34" t="s">
        <v>32</v>
      </c>
      <c r="C34" t="s">
        <v>1087</v>
      </c>
      <c r="D34" t="s">
        <v>1088</v>
      </c>
      <c r="E34" t="s">
        <v>20</v>
      </c>
      <c r="F34">
        <v>35</v>
      </c>
      <c r="G34" t="s">
        <v>21</v>
      </c>
      <c r="H34">
        <v>1.76</v>
      </c>
      <c r="I34">
        <v>0</v>
      </c>
      <c r="J34">
        <v>0.02</v>
      </c>
      <c r="K34">
        <v>0.7</v>
      </c>
      <c r="L34">
        <v>61.6</v>
      </c>
      <c r="M34">
        <v>1.8</v>
      </c>
      <c r="N34">
        <v>63</v>
      </c>
      <c r="O34" t="s">
        <v>1125</v>
      </c>
      <c r="P34">
        <v>0</v>
      </c>
    </row>
    <row r="35" spans="1:16" x14ac:dyDescent="0.25">
      <c r="A35" t="s">
        <v>70</v>
      </c>
      <c r="B35" t="s">
        <v>293</v>
      </c>
      <c r="C35" t="s">
        <v>1101</v>
      </c>
      <c r="D35" t="s">
        <v>1102</v>
      </c>
      <c r="E35" t="s">
        <v>20</v>
      </c>
      <c r="F35">
        <v>139.762</v>
      </c>
      <c r="G35" t="s">
        <v>21</v>
      </c>
      <c r="H35">
        <v>1.76</v>
      </c>
      <c r="I35">
        <v>0</v>
      </c>
      <c r="J35">
        <v>0.02</v>
      </c>
      <c r="K35">
        <v>2.8</v>
      </c>
      <c r="L35">
        <v>245.98</v>
      </c>
      <c r="M35">
        <v>1.81</v>
      </c>
      <c r="N35">
        <v>252.97</v>
      </c>
      <c r="O35" t="s">
        <v>1126</v>
      </c>
      <c r="P35">
        <v>0</v>
      </c>
    </row>
    <row r="36" spans="1:16" x14ac:dyDescent="0.25">
      <c r="A36" t="s">
        <v>70</v>
      </c>
      <c r="B36" t="s">
        <v>293</v>
      </c>
      <c r="C36" t="s">
        <v>1092</v>
      </c>
      <c r="D36" t="s">
        <v>1093</v>
      </c>
      <c r="E36" t="s">
        <v>30</v>
      </c>
      <c r="F36">
        <v>38.947000000000003</v>
      </c>
      <c r="G36" t="s">
        <v>21</v>
      </c>
      <c r="H36">
        <v>1.44</v>
      </c>
      <c r="I36">
        <v>0</v>
      </c>
      <c r="J36">
        <v>0.03</v>
      </c>
      <c r="K36">
        <v>1.17</v>
      </c>
      <c r="L36">
        <v>56.08</v>
      </c>
      <c r="M36">
        <v>1.51</v>
      </c>
      <c r="N36">
        <v>58.81</v>
      </c>
      <c r="O36" t="s">
        <v>978</v>
      </c>
      <c r="P36">
        <v>0</v>
      </c>
    </row>
    <row r="37" spans="1:16" x14ac:dyDescent="0.25">
      <c r="A37" t="s">
        <v>70</v>
      </c>
      <c r="B37" t="s">
        <v>293</v>
      </c>
      <c r="C37" t="s">
        <v>1094</v>
      </c>
      <c r="D37" t="s">
        <v>1095</v>
      </c>
      <c r="E37" t="s">
        <v>20</v>
      </c>
      <c r="F37">
        <v>60.668999999999897</v>
      </c>
      <c r="G37" t="s">
        <v>21</v>
      </c>
      <c r="H37">
        <v>1.76</v>
      </c>
      <c r="I37">
        <v>0</v>
      </c>
      <c r="J37">
        <v>0.02</v>
      </c>
      <c r="K37">
        <v>1.21</v>
      </c>
      <c r="L37">
        <v>106.78</v>
      </c>
      <c r="M37">
        <v>1.81</v>
      </c>
      <c r="N37">
        <v>109.81</v>
      </c>
      <c r="O37" t="s">
        <v>1127</v>
      </c>
      <c r="P37">
        <v>0</v>
      </c>
    </row>
    <row r="38" spans="1:16" x14ac:dyDescent="0.25">
      <c r="A38" t="s">
        <v>141</v>
      </c>
      <c r="B38" t="s">
        <v>32</v>
      </c>
      <c r="C38" t="s">
        <v>1107</v>
      </c>
      <c r="D38" t="s">
        <v>1108</v>
      </c>
      <c r="E38" t="s">
        <v>20</v>
      </c>
      <c r="F38">
        <v>58.9119999999999</v>
      </c>
      <c r="G38" t="s">
        <v>21</v>
      </c>
      <c r="H38">
        <v>1.75</v>
      </c>
      <c r="I38">
        <v>0</v>
      </c>
      <c r="J38">
        <v>0.02</v>
      </c>
      <c r="K38">
        <v>1.18</v>
      </c>
      <c r="L38">
        <v>103.1</v>
      </c>
      <c r="M38">
        <v>1.81</v>
      </c>
      <c r="N38">
        <v>106.63</v>
      </c>
      <c r="O38" t="s">
        <v>1128</v>
      </c>
      <c r="P38">
        <v>0</v>
      </c>
    </row>
    <row r="39" spans="1:16" x14ac:dyDescent="0.25">
      <c r="A39" t="s">
        <v>141</v>
      </c>
      <c r="B39" t="s">
        <v>293</v>
      </c>
      <c r="C39" t="s">
        <v>1092</v>
      </c>
      <c r="D39" t="s">
        <v>1093</v>
      </c>
      <c r="E39" t="s">
        <v>30</v>
      </c>
      <c r="F39">
        <v>30.158999999999899</v>
      </c>
      <c r="G39" t="s">
        <v>21</v>
      </c>
      <c r="H39">
        <v>1.43</v>
      </c>
      <c r="I39">
        <v>0</v>
      </c>
      <c r="J39">
        <v>0.03</v>
      </c>
      <c r="K39">
        <v>0.9</v>
      </c>
      <c r="L39">
        <v>43.13</v>
      </c>
      <c r="M39">
        <v>1.51</v>
      </c>
      <c r="N39">
        <v>45.54</v>
      </c>
      <c r="O39" t="s">
        <v>1129</v>
      </c>
      <c r="P39">
        <v>0</v>
      </c>
    </row>
    <row r="40" spans="1:16" x14ac:dyDescent="0.25">
      <c r="A40" t="s">
        <v>72</v>
      </c>
      <c r="B40" t="s">
        <v>32</v>
      </c>
      <c r="C40" t="s">
        <v>1103</v>
      </c>
      <c r="D40" t="s">
        <v>1104</v>
      </c>
      <c r="E40" t="s">
        <v>20</v>
      </c>
      <c r="F40">
        <v>100</v>
      </c>
      <c r="G40" t="s">
        <v>21</v>
      </c>
      <c r="H40">
        <v>1.73</v>
      </c>
      <c r="I40">
        <v>0</v>
      </c>
      <c r="J40">
        <v>0.02</v>
      </c>
      <c r="K40">
        <v>2</v>
      </c>
      <c r="L40">
        <v>173</v>
      </c>
      <c r="M40">
        <v>1.82</v>
      </c>
      <c r="N40">
        <v>182</v>
      </c>
      <c r="O40" t="s">
        <v>1098</v>
      </c>
      <c r="P40">
        <v>0</v>
      </c>
    </row>
    <row r="41" spans="1:16" x14ac:dyDescent="0.25">
      <c r="A41" t="s">
        <v>72</v>
      </c>
      <c r="B41" t="s">
        <v>293</v>
      </c>
      <c r="C41" t="s">
        <v>1092</v>
      </c>
      <c r="D41" t="s">
        <v>1093</v>
      </c>
      <c r="E41" t="s">
        <v>20</v>
      </c>
      <c r="F41">
        <v>48.131999999999898</v>
      </c>
      <c r="G41" t="s">
        <v>21</v>
      </c>
      <c r="H41">
        <v>1.73</v>
      </c>
      <c r="I41">
        <v>0</v>
      </c>
      <c r="J41">
        <v>0.02</v>
      </c>
      <c r="K41">
        <v>0.96</v>
      </c>
      <c r="L41">
        <v>83.27</v>
      </c>
      <c r="M41">
        <v>1.82</v>
      </c>
      <c r="N41">
        <v>87.6</v>
      </c>
      <c r="O41" t="s">
        <v>596</v>
      </c>
      <c r="P41">
        <v>0</v>
      </c>
    </row>
    <row r="42" spans="1:16" x14ac:dyDescent="0.25">
      <c r="A42" t="s">
        <v>72</v>
      </c>
      <c r="B42" t="s">
        <v>293</v>
      </c>
      <c r="C42" t="s">
        <v>1092</v>
      </c>
      <c r="D42" t="s">
        <v>1093</v>
      </c>
      <c r="E42" t="s">
        <v>30</v>
      </c>
      <c r="F42">
        <v>39.787999999999897</v>
      </c>
      <c r="G42" t="s">
        <v>21</v>
      </c>
      <c r="H42">
        <v>1.43</v>
      </c>
      <c r="I42">
        <v>0</v>
      </c>
      <c r="J42">
        <v>0.03</v>
      </c>
      <c r="K42">
        <v>1.19</v>
      </c>
      <c r="L42">
        <v>56.9</v>
      </c>
      <c r="M42">
        <v>1.51</v>
      </c>
      <c r="N42">
        <v>60.08</v>
      </c>
      <c r="O42" t="s">
        <v>596</v>
      </c>
      <c r="P42">
        <v>0</v>
      </c>
    </row>
    <row r="43" spans="1:16" x14ac:dyDescent="0.25">
      <c r="A43" t="s">
        <v>72</v>
      </c>
      <c r="B43" t="s">
        <v>749</v>
      </c>
      <c r="C43" t="s">
        <v>1115</v>
      </c>
      <c r="D43" t="s">
        <v>1116</v>
      </c>
      <c r="E43" t="s">
        <v>30</v>
      </c>
      <c r="F43">
        <v>29.199000000000002</v>
      </c>
      <c r="G43" t="s">
        <v>21</v>
      </c>
      <c r="H43">
        <v>1.43</v>
      </c>
      <c r="I43">
        <v>0</v>
      </c>
      <c r="J43">
        <v>0.03</v>
      </c>
      <c r="K43">
        <v>0.88</v>
      </c>
      <c r="L43">
        <v>41.75</v>
      </c>
      <c r="M43">
        <v>1.51</v>
      </c>
      <c r="N43">
        <v>44.09</v>
      </c>
      <c r="O43" t="s">
        <v>1130</v>
      </c>
      <c r="P43">
        <v>0</v>
      </c>
    </row>
    <row r="44" spans="1:16" x14ac:dyDescent="0.25">
      <c r="A44" t="s">
        <v>77</v>
      </c>
      <c r="B44" t="s">
        <v>293</v>
      </c>
      <c r="C44" t="s">
        <v>1092</v>
      </c>
      <c r="D44" t="s">
        <v>1093</v>
      </c>
      <c r="E44" t="s">
        <v>20</v>
      </c>
      <c r="F44">
        <v>21.4179999999999</v>
      </c>
      <c r="G44" t="s">
        <v>21</v>
      </c>
      <c r="H44">
        <v>1.73</v>
      </c>
      <c r="I44">
        <v>0</v>
      </c>
      <c r="J44">
        <v>0.02</v>
      </c>
      <c r="K44">
        <v>0.43</v>
      </c>
      <c r="L44">
        <v>37.049999999999997</v>
      </c>
      <c r="M44">
        <v>1.82</v>
      </c>
      <c r="N44">
        <v>38.979999999999997</v>
      </c>
      <c r="O44" t="s">
        <v>374</v>
      </c>
      <c r="P44">
        <v>0</v>
      </c>
    </row>
    <row r="45" spans="1:16" x14ac:dyDescent="0.25">
      <c r="A45" t="s">
        <v>77</v>
      </c>
      <c r="B45" t="s">
        <v>293</v>
      </c>
      <c r="C45" t="s">
        <v>1092</v>
      </c>
      <c r="D45" t="s">
        <v>1093</v>
      </c>
      <c r="E45" t="s">
        <v>30</v>
      </c>
      <c r="F45">
        <v>20.800999999999899</v>
      </c>
      <c r="G45" t="s">
        <v>21</v>
      </c>
      <c r="H45">
        <v>1.43</v>
      </c>
      <c r="I45">
        <v>0</v>
      </c>
      <c r="J45">
        <v>0.03</v>
      </c>
      <c r="K45">
        <v>0.62</v>
      </c>
      <c r="L45">
        <v>29.75</v>
      </c>
      <c r="M45">
        <v>1.51</v>
      </c>
      <c r="N45">
        <v>31.41</v>
      </c>
      <c r="O45" t="s">
        <v>374</v>
      </c>
      <c r="P45">
        <v>0</v>
      </c>
    </row>
    <row r="46" spans="1:16" x14ac:dyDescent="0.25">
      <c r="A46" t="s">
        <v>243</v>
      </c>
      <c r="B46" t="s">
        <v>32</v>
      </c>
      <c r="C46" t="s">
        <v>428</v>
      </c>
      <c r="D46" t="s">
        <v>1123</v>
      </c>
      <c r="E46" t="s">
        <v>20</v>
      </c>
      <c r="F46">
        <v>60.384999999999899</v>
      </c>
      <c r="G46" t="s">
        <v>21</v>
      </c>
      <c r="H46">
        <v>1.72</v>
      </c>
      <c r="I46">
        <v>0</v>
      </c>
      <c r="J46">
        <v>0.02</v>
      </c>
      <c r="K46">
        <v>1.21</v>
      </c>
      <c r="L46">
        <v>103.86</v>
      </c>
      <c r="M46">
        <v>1.82</v>
      </c>
      <c r="N46">
        <v>109.9</v>
      </c>
      <c r="O46" t="s">
        <v>1131</v>
      </c>
      <c r="P46">
        <v>0</v>
      </c>
    </row>
    <row r="47" spans="1:16" x14ac:dyDescent="0.25">
      <c r="A47" t="s">
        <v>243</v>
      </c>
      <c r="B47" t="s">
        <v>293</v>
      </c>
      <c r="C47" t="s">
        <v>1115</v>
      </c>
      <c r="D47" t="s">
        <v>1116</v>
      </c>
      <c r="E47" t="s">
        <v>20</v>
      </c>
      <c r="F47">
        <v>57.521999999999899</v>
      </c>
      <c r="G47" t="s">
        <v>21</v>
      </c>
      <c r="H47">
        <v>1.72</v>
      </c>
      <c r="I47">
        <v>0</v>
      </c>
      <c r="J47">
        <v>0.02</v>
      </c>
      <c r="K47">
        <v>1.1499999999999999</v>
      </c>
      <c r="L47">
        <v>98.94</v>
      </c>
      <c r="M47">
        <v>1.82</v>
      </c>
      <c r="N47">
        <v>104.69</v>
      </c>
      <c r="O47" t="s">
        <v>789</v>
      </c>
      <c r="P47">
        <v>0</v>
      </c>
    </row>
    <row r="48" spans="1:16" x14ac:dyDescent="0.25">
      <c r="A48" t="s">
        <v>243</v>
      </c>
      <c r="B48" t="s">
        <v>293</v>
      </c>
      <c r="C48" t="s">
        <v>1092</v>
      </c>
      <c r="D48" t="s">
        <v>1093</v>
      </c>
      <c r="E48" t="s">
        <v>20</v>
      </c>
      <c r="F48">
        <v>60</v>
      </c>
      <c r="G48" t="s">
        <v>21</v>
      </c>
      <c r="H48">
        <v>1.72</v>
      </c>
      <c r="I48">
        <v>0</v>
      </c>
      <c r="J48">
        <v>0.02</v>
      </c>
      <c r="K48">
        <v>1.2</v>
      </c>
      <c r="L48">
        <v>103.2</v>
      </c>
      <c r="M48">
        <v>1.82</v>
      </c>
      <c r="N48">
        <v>109.2</v>
      </c>
      <c r="O48" t="s">
        <v>596</v>
      </c>
      <c r="P48">
        <v>0</v>
      </c>
    </row>
    <row r="49" spans="1:16" x14ac:dyDescent="0.25">
      <c r="A49" t="s">
        <v>243</v>
      </c>
      <c r="B49" t="s">
        <v>293</v>
      </c>
      <c r="C49" t="s">
        <v>1092</v>
      </c>
      <c r="D49" t="s">
        <v>1093</v>
      </c>
      <c r="E49" t="s">
        <v>30</v>
      </c>
      <c r="F49">
        <v>50.0399999999999</v>
      </c>
      <c r="G49" t="s">
        <v>21</v>
      </c>
      <c r="H49">
        <v>1.43</v>
      </c>
      <c r="I49">
        <v>0</v>
      </c>
      <c r="J49">
        <v>0.03</v>
      </c>
      <c r="K49">
        <v>1.5</v>
      </c>
      <c r="L49">
        <v>71.56</v>
      </c>
      <c r="M49">
        <v>1.51</v>
      </c>
      <c r="N49">
        <v>75.56</v>
      </c>
      <c r="O49" t="s">
        <v>362</v>
      </c>
      <c r="P49">
        <v>0</v>
      </c>
    </row>
    <row r="50" spans="1:16" x14ac:dyDescent="0.25">
      <c r="A50" t="s">
        <v>145</v>
      </c>
      <c r="B50" t="s">
        <v>32</v>
      </c>
      <c r="C50" t="s">
        <v>1103</v>
      </c>
      <c r="D50" t="s">
        <v>1104</v>
      </c>
      <c r="E50" t="s">
        <v>20</v>
      </c>
      <c r="F50">
        <v>100</v>
      </c>
      <c r="G50" t="s">
        <v>21</v>
      </c>
      <c r="H50">
        <v>1.72</v>
      </c>
      <c r="I50">
        <v>0</v>
      </c>
      <c r="J50">
        <v>0.02</v>
      </c>
      <c r="K50">
        <v>2</v>
      </c>
      <c r="L50">
        <v>172</v>
      </c>
      <c r="M50">
        <v>1.82</v>
      </c>
      <c r="N50">
        <v>182</v>
      </c>
      <c r="O50" t="s">
        <v>1132</v>
      </c>
      <c r="P50">
        <v>0</v>
      </c>
    </row>
    <row r="51" spans="1:16" x14ac:dyDescent="0.25">
      <c r="A51" t="s">
        <v>145</v>
      </c>
      <c r="B51" t="s">
        <v>293</v>
      </c>
      <c r="C51" t="s">
        <v>1092</v>
      </c>
      <c r="D51" t="s">
        <v>1093</v>
      </c>
      <c r="E51" t="s">
        <v>20</v>
      </c>
      <c r="F51">
        <v>43.363</v>
      </c>
      <c r="G51" t="s">
        <v>21</v>
      </c>
      <c r="H51">
        <v>1.72</v>
      </c>
      <c r="I51">
        <v>0</v>
      </c>
      <c r="J51">
        <v>0.02</v>
      </c>
      <c r="K51">
        <v>0.87</v>
      </c>
      <c r="L51">
        <v>74.58</v>
      </c>
      <c r="M51">
        <v>1.82</v>
      </c>
      <c r="N51">
        <v>78.92</v>
      </c>
      <c r="O51" t="s">
        <v>170</v>
      </c>
      <c r="P51">
        <v>0</v>
      </c>
    </row>
    <row r="52" spans="1:16" x14ac:dyDescent="0.25">
      <c r="A52" t="s">
        <v>145</v>
      </c>
      <c r="B52" t="s">
        <v>130</v>
      </c>
      <c r="C52" t="s">
        <v>1110</v>
      </c>
      <c r="D52" t="s">
        <v>1111</v>
      </c>
      <c r="E52" t="s">
        <v>20</v>
      </c>
      <c r="F52">
        <v>64.510999999999896</v>
      </c>
      <c r="G52" t="s">
        <v>21</v>
      </c>
      <c r="H52">
        <v>1.72</v>
      </c>
      <c r="I52">
        <v>0</v>
      </c>
      <c r="J52">
        <v>0.02</v>
      </c>
      <c r="K52">
        <v>1.29</v>
      </c>
      <c r="L52">
        <v>110.96</v>
      </c>
      <c r="M52">
        <v>1.82</v>
      </c>
      <c r="N52">
        <v>117.41</v>
      </c>
      <c r="O52" t="s">
        <v>1133</v>
      </c>
      <c r="P52">
        <v>0</v>
      </c>
    </row>
    <row r="53" spans="1:16" x14ac:dyDescent="0.25">
      <c r="A53" t="s">
        <v>82</v>
      </c>
      <c r="B53" t="s">
        <v>217</v>
      </c>
      <c r="C53" t="s">
        <v>520</v>
      </c>
      <c r="D53" t="s">
        <v>1134</v>
      </c>
      <c r="E53" t="s">
        <v>20</v>
      </c>
      <c r="F53">
        <v>54.341000000000001</v>
      </c>
      <c r="G53" t="s">
        <v>21</v>
      </c>
      <c r="H53">
        <v>1.7</v>
      </c>
      <c r="I53">
        <v>0</v>
      </c>
      <c r="J53">
        <v>0.02</v>
      </c>
      <c r="K53">
        <v>1.0900000000000001</v>
      </c>
      <c r="L53">
        <v>92.38</v>
      </c>
      <c r="M53">
        <v>1.82</v>
      </c>
      <c r="N53">
        <v>98.9</v>
      </c>
      <c r="O53" t="s">
        <v>357</v>
      </c>
      <c r="P53">
        <v>0</v>
      </c>
    </row>
    <row r="54" spans="1:16" x14ac:dyDescent="0.25">
      <c r="A54" t="s">
        <v>83</v>
      </c>
      <c r="B54" t="s">
        <v>281</v>
      </c>
      <c r="C54" t="s">
        <v>428</v>
      </c>
      <c r="D54" t="s">
        <v>1123</v>
      </c>
      <c r="E54" t="s">
        <v>30</v>
      </c>
      <c r="F54">
        <v>16.440999999999899</v>
      </c>
      <c r="G54" t="s">
        <v>21</v>
      </c>
      <c r="H54">
        <v>1.42</v>
      </c>
      <c r="I54">
        <v>0</v>
      </c>
      <c r="J54">
        <v>0.03</v>
      </c>
      <c r="K54">
        <v>0.49</v>
      </c>
      <c r="L54">
        <v>23.35</v>
      </c>
      <c r="M54">
        <v>1.52</v>
      </c>
      <c r="N54">
        <v>24.99</v>
      </c>
      <c r="O54" t="s">
        <v>1135</v>
      </c>
      <c r="P54">
        <v>0</v>
      </c>
    </row>
    <row r="55" spans="1:16" x14ac:dyDescent="0.25">
      <c r="A55" t="s">
        <v>83</v>
      </c>
      <c r="B55" t="s">
        <v>281</v>
      </c>
      <c r="C55" t="s">
        <v>428</v>
      </c>
      <c r="D55" t="s">
        <v>1123</v>
      </c>
      <c r="E55" t="s">
        <v>37</v>
      </c>
      <c r="F55">
        <v>24.036000000000001</v>
      </c>
      <c r="G55" t="s">
        <v>21</v>
      </c>
      <c r="H55">
        <v>0.83</v>
      </c>
      <c r="I55">
        <v>0</v>
      </c>
      <c r="J55">
        <v>0</v>
      </c>
      <c r="L55">
        <v>19.95</v>
      </c>
      <c r="M55">
        <v>0.83</v>
      </c>
      <c r="N55">
        <v>19.95</v>
      </c>
      <c r="O55" t="s">
        <v>1135</v>
      </c>
      <c r="P55">
        <v>0</v>
      </c>
    </row>
    <row r="56" spans="1:16" x14ac:dyDescent="0.25">
      <c r="A56" t="s">
        <v>83</v>
      </c>
      <c r="B56" t="s">
        <v>281</v>
      </c>
      <c r="C56" t="s">
        <v>428</v>
      </c>
      <c r="D56" t="s">
        <v>1123</v>
      </c>
      <c r="E56" t="s">
        <v>30</v>
      </c>
      <c r="F56">
        <v>16.440999999999899</v>
      </c>
      <c r="G56" t="s">
        <v>21</v>
      </c>
      <c r="H56">
        <v>1.42</v>
      </c>
      <c r="I56">
        <v>0</v>
      </c>
      <c r="J56">
        <v>0.03</v>
      </c>
      <c r="K56">
        <v>0.49</v>
      </c>
      <c r="L56">
        <v>23.35</v>
      </c>
      <c r="M56">
        <v>1.52</v>
      </c>
      <c r="N56">
        <v>24.99</v>
      </c>
      <c r="O56" t="s">
        <v>1136</v>
      </c>
      <c r="P56">
        <v>1</v>
      </c>
    </row>
    <row r="57" spans="1:16" x14ac:dyDescent="0.25">
      <c r="A57" t="s">
        <v>83</v>
      </c>
      <c r="B57" t="s">
        <v>281</v>
      </c>
      <c r="C57" t="s">
        <v>428</v>
      </c>
      <c r="D57" t="s">
        <v>1123</v>
      </c>
      <c r="E57" t="s">
        <v>37</v>
      </c>
      <c r="F57">
        <v>35.469999999999899</v>
      </c>
      <c r="G57" t="s">
        <v>21</v>
      </c>
      <c r="H57">
        <v>0.83</v>
      </c>
      <c r="I57">
        <v>0</v>
      </c>
      <c r="J57">
        <v>0</v>
      </c>
      <c r="L57">
        <v>29.44</v>
      </c>
      <c r="M57">
        <v>0.83</v>
      </c>
      <c r="N57">
        <v>29.44</v>
      </c>
      <c r="O57" t="s">
        <v>1136</v>
      </c>
      <c r="P57">
        <v>1</v>
      </c>
    </row>
    <row r="58" spans="1:16" x14ac:dyDescent="0.25">
      <c r="A58" t="s">
        <v>16</v>
      </c>
      <c r="B58" t="s">
        <v>32</v>
      </c>
      <c r="C58" t="s">
        <v>1107</v>
      </c>
      <c r="D58" t="s">
        <v>1108</v>
      </c>
      <c r="E58" t="s">
        <v>20</v>
      </c>
      <c r="F58">
        <v>64.403000000000006</v>
      </c>
      <c r="G58" t="s">
        <v>21</v>
      </c>
      <c r="H58">
        <v>1.69</v>
      </c>
      <c r="I58">
        <v>0</v>
      </c>
      <c r="J58">
        <v>0.02</v>
      </c>
      <c r="K58">
        <v>1.29</v>
      </c>
      <c r="L58">
        <v>108.84</v>
      </c>
      <c r="M58">
        <v>1.81</v>
      </c>
      <c r="N58">
        <v>116.57</v>
      </c>
      <c r="O58" t="s">
        <v>699</v>
      </c>
      <c r="P58">
        <v>0</v>
      </c>
    </row>
    <row r="59" spans="1:16" x14ac:dyDescent="0.25">
      <c r="A59" t="s">
        <v>16</v>
      </c>
      <c r="B59" t="s">
        <v>32</v>
      </c>
      <c r="C59" t="s">
        <v>1103</v>
      </c>
      <c r="D59" t="s">
        <v>1104</v>
      </c>
      <c r="E59" t="s">
        <v>20</v>
      </c>
      <c r="F59">
        <v>100</v>
      </c>
      <c r="G59" t="s">
        <v>21</v>
      </c>
      <c r="H59">
        <v>1.69</v>
      </c>
      <c r="I59">
        <v>0</v>
      </c>
      <c r="J59">
        <v>0.02</v>
      </c>
      <c r="K59">
        <v>2</v>
      </c>
      <c r="L59">
        <v>169</v>
      </c>
      <c r="M59">
        <v>1.81</v>
      </c>
      <c r="N59">
        <v>181</v>
      </c>
      <c r="O59" t="s">
        <v>1137</v>
      </c>
      <c r="P59">
        <v>0</v>
      </c>
    </row>
    <row r="60" spans="1:16" x14ac:dyDescent="0.25">
      <c r="A60" t="s">
        <v>16</v>
      </c>
      <c r="B60" t="s">
        <v>32</v>
      </c>
      <c r="C60" t="s">
        <v>1118</v>
      </c>
      <c r="D60" t="s">
        <v>1119</v>
      </c>
      <c r="E60" t="s">
        <v>30</v>
      </c>
      <c r="F60">
        <v>9.7750000000000004</v>
      </c>
      <c r="G60" t="s">
        <v>21</v>
      </c>
      <c r="H60">
        <v>1.42</v>
      </c>
      <c r="I60">
        <v>0</v>
      </c>
      <c r="J60">
        <v>0.03</v>
      </c>
      <c r="K60">
        <v>0.28999999999999998</v>
      </c>
      <c r="L60">
        <v>13.88</v>
      </c>
      <c r="M60">
        <v>1.51</v>
      </c>
      <c r="N60">
        <v>14.76</v>
      </c>
      <c r="O60" t="s">
        <v>699</v>
      </c>
      <c r="P60">
        <v>0</v>
      </c>
    </row>
    <row r="61" spans="1:16" x14ac:dyDescent="0.25">
      <c r="A61" t="s">
        <v>16</v>
      </c>
      <c r="B61" t="s">
        <v>293</v>
      </c>
      <c r="C61" t="s">
        <v>1092</v>
      </c>
      <c r="D61" t="s">
        <v>1093</v>
      </c>
      <c r="E61" t="s">
        <v>20</v>
      </c>
      <c r="F61">
        <v>79.652000000000001</v>
      </c>
      <c r="G61" t="s">
        <v>21</v>
      </c>
      <c r="H61">
        <v>1.69</v>
      </c>
      <c r="I61">
        <v>0</v>
      </c>
      <c r="J61">
        <v>0.02</v>
      </c>
      <c r="K61">
        <v>1.59</v>
      </c>
      <c r="L61">
        <v>134.61000000000001</v>
      </c>
      <c r="M61">
        <v>1.81</v>
      </c>
      <c r="N61">
        <v>144.16999999999999</v>
      </c>
      <c r="O61" t="s">
        <v>336</v>
      </c>
      <c r="P61">
        <v>0</v>
      </c>
    </row>
    <row r="62" spans="1:16" x14ac:dyDescent="0.25">
      <c r="A62" t="s">
        <v>16</v>
      </c>
      <c r="B62" t="s">
        <v>293</v>
      </c>
      <c r="C62" t="s">
        <v>1092</v>
      </c>
      <c r="D62" t="s">
        <v>1093</v>
      </c>
      <c r="E62" t="s">
        <v>30</v>
      </c>
      <c r="F62">
        <v>19.55</v>
      </c>
      <c r="G62" t="s">
        <v>21</v>
      </c>
      <c r="H62">
        <v>1.42</v>
      </c>
      <c r="I62">
        <v>0</v>
      </c>
      <c r="J62">
        <v>0.03</v>
      </c>
      <c r="K62">
        <v>0.59</v>
      </c>
      <c r="L62">
        <v>27.76</v>
      </c>
      <c r="M62">
        <v>1.51</v>
      </c>
      <c r="N62">
        <v>29.52</v>
      </c>
      <c r="O62" t="s">
        <v>1138</v>
      </c>
      <c r="P62">
        <v>0</v>
      </c>
    </row>
    <row r="63" spans="1:16" x14ac:dyDescent="0.25">
      <c r="A63" t="s">
        <v>23</v>
      </c>
      <c r="B63" t="s">
        <v>32</v>
      </c>
      <c r="C63" t="s">
        <v>1139</v>
      </c>
      <c r="D63" t="s">
        <v>1140</v>
      </c>
      <c r="E63" t="s">
        <v>20</v>
      </c>
      <c r="F63">
        <v>56.256</v>
      </c>
      <c r="G63" t="s">
        <v>21</v>
      </c>
      <c r="H63">
        <v>1.67</v>
      </c>
      <c r="I63">
        <v>0</v>
      </c>
      <c r="J63">
        <v>0.02</v>
      </c>
      <c r="K63">
        <v>1.1299999999999999</v>
      </c>
      <c r="L63">
        <v>93.95</v>
      </c>
      <c r="M63">
        <v>1.8</v>
      </c>
      <c r="N63">
        <v>101.26</v>
      </c>
      <c r="O63" t="s">
        <v>815</v>
      </c>
      <c r="P63">
        <v>0</v>
      </c>
    </row>
    <row r="66" spans="6:12" x14ac:dyDescent="0.25">
      <c r="F66">
        <f>SUM(F2:F65)</f>
        <v>3356.0399999999963</v>
      </c>
      <c r="L66">
        <f>SUM(L2:L65)</f>
        <v>5588.23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P7"/>
  <sheetViews>
    <sheetView workbookViewId="0">
      <selection activeCell="F22" sqref="F22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8.5703125" bestFit="1" customWidth="1"/>
    <col min="4" max="4" width="18.28515625" bestFit="1" customWidth="1"/>
    <col min="5" max="5" width="22.8554687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86</v>
      </c>
      <c r="B2" t="s">
        <v>24</v>
      </c>
      <c r="C2" t="s">
        <v>1141</v>
      </c>
      <c r="D2" t="s">
        <v>1142</v>
      </c>
      <c r="E2" t="s">
        <v>37</v>
      </c>
      <c r="F2">
        <v>27.1329999999999</v>
      </c>
      <c r="G2" t="s">
        <v>21</v>
      </c>
      <c r="H2">
        <v>0.82</v>
      </c>
      <c r="I2">
        <v>0.01</v>
      </c>
      <c r="J2">
        <v>0</v>
      </c>
      <c r="K2">
        <v>-4.88</v>
      </c>
      <c r="L2">
        <v>22.25</v>
      </c>
      <c r="M2">
        <v>0.83</v>
      </c>
      <c r="N2">
        <v>22.52</v>
      </c>
      <c r="O2" t="s">
        <v>1097</v>
      </c>
      <c r="P2">
        <v>0</v>
      </c>
    </row>
    <row r="3" spans="1:16" x14ac:dyDescent="0.25">
      <c r="A3" t="s">
        <v>151</v>
      </c>
      <c r="B3" t="s">
        <v>32</v>
      </c>
      <c r="C3" t="s">
        <v>1143</v>
      </c>
      <c r="D3" t="s">
        <v>1144</v>
      </c>
      <c r="E3" t="s">
        <v>30</v>
      </c>
      <c r="F3">
        <v>39.6619999999999</v>
      </c>
      <c r="G3" t="s">
        <v>21</v>
      </c>
      <c r="H3">
        <v>1.48</v>
      </c>
      <c r="I3">
        <v>0.03</v>
      </c>
      <c r="J3">
        <v>0</v>
      </c>
      <c r="K3">
        <v>3.61</v>
      </c>
      <c r="L3">
        <v>58.7</v>
      </c>
      <c r="M3">
        <v>1.51</v>
      </c>
      <c r="N3">
        <v>59.89</v>
      </c>
      <c r="O3" t="s">
        <v>292</v>
      </c>
      <c r="P3">
        <v>0</v>
      </c>
    </row>
    <row r="4" spans="1:16" x14ac:dyDescent="0.25">
      <c r="A4" t="s">
        <v>151</v>
      </c>
      <c r="B4" t="s">
        <v>496</v>
      </c>
      <c r="C4" t="s">
        <v>1145</v>
      </c>
      <c r="D4" t="s">
        <v>1146</v>
      </c>
      <c r="E4" t="s">
        <v>30</v>
      </c>
      <c r="F4">
        <v>24.013000000000002</v>
      </c>
      <c r="G4" t="s">
        <v>21</v>
      </c>
      <c r="H4">
        <v>1.48</v>
      </c>
      <c r="I4">
        <v>0.03</v>
      </c>
      <c r="J4">
        <v>0</v>
      </c>
      <c r="K4">
        <v>2.19</v>
      </c>
      <c r="L4">
        <v>35.54</v>
      </c>
      <c r="M4">
        <v>1.51</v>
      </c>
      <c r="N4">
        <v>36.26</v>
      </c>
      <c r="O4" t="s">
        <v>359</v>
      </c>
      <c r="P4">
        <v>0</v>
      </c>
    </row>
    <row r="7" spans="1:16" x14ac:dyDescent="0.25">
      <c r="F7">
        <f>SUM(F2:F6)</f>
        <v>90.807999999999808</v>
      </c>
      <c r="L7">
        <f>SUM(L2:L6)</f>
        <v>116.49000000000001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P8"/>
  <sheetViews>
    <sheetView workbookViewId="0">
      <selection activeCell="F8" sqref="F8"/>
    </sheetView>
  </sheetViews>
  <sheetFormatPr defaultRowHeight="15" x14ac:dyDescent="0.25"/>
  <cols>
    <col min="1" max="1" width="10.42578125" bestFit="1" customWidth="1"/>
    <col min="2" max="2" width="19.28515625" bestFit="1" customWidth="1"/>
    <col min="3" max="3" width="8.85546875" bestFit="1" customWidth="1"/>
    <col min="4" max="4" width="18.28515625" bestFit="1" customWidth="1"/>
    <col min="5" max="5" width="15.42578125" bestFit="1" customWidth="1"/>
    <col min="6" max="6" width="7.5703125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145</v>
      </c>
      <c r="B2" t="s">
        <v>17</v>
      </c>
      <c r="C2" t="s">
        <v>1147</v>
      </c>
      <c r="D2" t="s">
        <v>1148</v>
      </c>
      <c r="E2" t="s">
        <v>37</v>
      </c>
      <c r="F2">
        <v>30.300999999999899</v>
      </c>
      <c r="G2" t="s">
        <v>21</v>
      </c>
      <c r="H2">
        <v>0.82</v>
      </c>
      <c r="I2">
        <v>0.01</v>
      </c>
      <c r="J2">
        <v>0</v>
      </c>
      <c r="K2">
        <v>24.85</v>
      </c>
      <c r="L2">
        <v>24.85</v>
      </c>
      <c r="M2">
        <v>0.83</v>
      </c>
      <c r="N2">
        <v>25.15</v>
      </c>
      <c r="O2" t="s">
        <v>613</v>
      </c>
      <c r="P2">
        <v>113320</v>
      </c>
    </row>
    <row r="3" spans="1:16" x14ac:dyDescent="0.25">
      <c r="A3" t="s">
        <v>82</v>
      </c>
      <c r="B3" t="s">
        <v>17</v>
      </c>
      <c r="C3" t="s">
        <v>1149</v>
      </c>
      <c r="D3" t="s">
        <v>1150</v>
      </c>
      <c r="E3" t="s">
        <v>37</v>
      </c>
      <c r="F3">
        <v>33.710999999999899</v>
      </c>
      <c r="G3" t="s">
        <v>21</v>
      </c>
      <c r="H3">
        <v>0.82</v>
      </c>
      <c r="I3">
        <v>0.01</v>
      </c>
      <c r="J3">
        <v>0</v>
      </c>
      <c r="K3">
        <v>-6.07</v>
      </c>
      <c r="L3">
        <v>27.64</v>
      </c>
      <c r="M3">
        <v>0.83</v>
      </c>
      <c r="N3">
        <v>27.98</v>
      </c>
      <c r="O3" t="s">
        <v>497</v>
      </c>
      <c r="P3">
        <v>0</v>
      </c>
    </row>
    <row r="4" spans="1:16" x14ac:dyDescent="0.25">
      <c r="A4" t="s">
        <v>86</v>
      </c>
      <c r="B4" t="s">
        <v>17</v>
      </c>
      <c r="C4" t="s">
        <v>1149</v>
      </c>
      <c r="D4" t="s">
        <v>1150</v>
      </c>
      <c r="E4" t="s">
        <v>37</v>
      </c>
      <c r="F4">
        <v>20.361000000000001</v>
      </c>
      <c r="G4" t="s">
        <v>21</v>
      </c>
      <c r="H4">
        <v>0.82</v>
      </c>
      <c r="I4">
        <v>0.01</v>
      </c>
      <c r="J4">
        <v>0</v>
      </c>
      <c r="K4">
        <v>-3.66</v>
      </c>
      <c r="L4">
        <v>16.7</v>
      </c>
      <c r="M4">
        <v>0.83</v>
      </c>
      <c r="N4">
        <v>16.899999999999999</v>
      </c>
      <c r="O4" t="s">
        <v>389</v>
      </c>
      <c r="P4">
        <v>115840</v>
      </c>
    </row>
    <row r="5" spans="1:16" x14ac:dyDescent="0.25">
      <c r="A5" t="s">
        <v>86</v>
      </c>
      <c r="B5" t="s">
        <v>17</v>
      </c>
      <c r="C5" t="s">
        <v>1147</v>
      </c>
      <c r="D5" t="s">
        <v>1148</v>
      </c>
      <c r="E5" t="s">
        <v>37</v>
      </c>
      <c r="F5">
        <v>26.53</v>
      </c>
      <c r="G5" t="s">
        <v>21</v>
      </c>
      <c r="H5">
        <v>0.82</v>
      </c>
      <c r="I5">
        <v>0.01</v>
      </c>
      <c r="J5">
        <v>0</v>
      </c>
      <c r="K5">
        <v>-4.78</v>
      </c>
      <c r="L5">
        <v>21.75</v>
      </c>
      <c r="M5">
        <v>0.83</v>
      </c>
      <c r="N5">
        <v>22.02</v>
      </c>
      <c r="O5" t="s">
        <v>1151</v>
      </c>
      <c r="P5">
        <v>113530</v>
      </c>
    </row>
    <row r="8" spans="1:16" x14ac:dyDescent="0.25">
      <c r="F8" s="5">
        <f>SUM(F2:F7)</f>
        <v>110.90299999999981</v>
      </c>
      <c r="L8">
        <f>SUM(L2:L7)</f>
        <v>90.94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P4"/>
  <sheetViews>
    <sheetView workbookViewId="0">
      <selection activeCell="F4" sqref="F4"/>
    </sheetView>
  </sheetViews>
  <sheetFormatPr defaultRowHeight="15" x14ac:dyDescent="0.25"/>
  <cols>
    <col min="1" max="1" width="10.42578125" bestFit="1" customWidth="1"/>
    <col min="2" max="2" width="19.28515625" bestFit="1" customWidth="1"/>
    <col min="3" max="3" width="8.42578125" bestFit="1" customWidth="1"/>
    <col min="4" max="4" width="18.28515625" bestFit="1" customWidth="1"/>
    <col min="5" max="5" width="15.4257812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23</v>
      </c>
      <c r="B2" t="s">
        <v>17</v>
      </c>
      <c r="C2" t="s">
        <v>1152</v>
      </c>
      <c r="D2" t="s">
        <v>1153</v>
      </c>
      <c r="E2" t="s">
        <v>37</v>
      </c>
      <c r="F2">
        <v>30.855</v>
      </c>
      <c r="G2" t="s">
        <v>21</v>
      </c>
      <c r="H2">
        <v>0.82</v>
      </c>
      <c r="I2">
        <v>0.01</v>
      </c>
      <c r="J2">
        <v>0</v>
      </c>
      <c r="K2">
        <v>-5.55</v>
      </c>
      <c r="L2">
        <v>25.3</v>
      </c>
      <c r="M2">
        <v>0.83</v>
      </c>
      <c r="N2">
        <v>25.61</v>
      </c>
      <c r="O2" t="s">
        <v>1154</v>
      </c>
      <c r="P2">
        <v>0</v>
      </c>
    </row>
    <row r="4" spans="1:16" x14ac:dyDescent="0.25">
      <c r="F4">
        <f>SUM(F2:F3)</f>
        <v>30.855</v>
      </c>
      <c r="L4">
        <f>SUM(L2:L3)</f>
        <v>25.3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P5"/>
  <sheetViews>
    <sheetView workbookViewId="0">
      <selection activeCell="F5" sqref="F5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8.42578125" bestFit="1" customWidth="1"/>
    <col min="4" max="4" width="18.28515625" bestFit="1" customWidth="1"/>
    <col min="5" max="5" width="15.42578125" bestFit="1" customWidth="1"/>
    <col min="6" max="6" width="6.5703125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151</v>
      </c>
      <c r="B2" t="s">
        <v>32</v>
      </c>
      <c r="C2" t="s">
        <v>1155</v>
      </c>
      <c r="D2" t="s">
        <v>1156</v>
      </c>
      <c r="E2" t="s">
        <v>37</v>
      </c>
      <c r="F2">
        <v>8.3130000000000006</v>
      </c>
      <c r="G2" t="s">
        <v>21</v>
      </c>
      <c r="H2">
        <v>0.82</v>
      </c>
      <c r="I2">
        <v>0.01</v>
      </c>
      <c r="J2">
        <v>0</v>
      </c>
      <c r="K2">
        <v>-1.5</v>
      </c>
      <c r="L2">
        <v>6.82</v>
      </c>
      <c r="M2">
        <v>0.83</v>
      </c>
      <c r="N2">
        <v>6.9</v>
      </c>
      <c r="O2" t="s">
        <v>1157</v>
      </c>
      <c r="P2">
        <v>0</v>
      </c>
    </row>
    <row r="5" spans="1:16" x14ac:dyDescent="0.25">
      <c r="F5">
        <f>SUM(F2:F4)</f>
        <v>8.3130000000000006</v>
      </c>
      <c r="L5">
        <f>SUM(L2:L4)</f>
        <v>6.82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P5"/>
  <sheetViews>
    <sheetView workbookViewId="0">
      <selection activeCell="E33" sqref="E33"/>
    </sheetView>
  </sheetViews>
  <sheetFormatPr defaultRowHeight="15" x14ac:dyDescent="0.25"/>
  <cols>
    <col min="1" max="1" width="10.42578125" bestFit="1" customWidth="1"/>
    <col min="2" max="2" width="20.42578125" bestFit="1" customWidth="1"/>
    <col min="3" max="3" width="8.5703125" bestFit="1" customWidth="1"/>
    <col min="4" max="4" width="18.28515625" bestFit="1" customWidth="1"/>
    <col min="5" max="5" width="22.85546875" bestFit="1" customWidth="1"/>
    <col min="6" max="6" width="6.5703125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86</v>
      </c>
      <c r="B2" t="s">
        <v>24</v>
      </c>
      <c r="C2" t="s">
        <v>1158</v>
      </c>
      <c r="D2" t="s">
        <v>1159</v>
      </c>
      <c r="E2" t="s">
        <v>30</v>
      </c>
      <c r="F2" s="5">
        <v>38</v>
      </c>
      <c r="G2" t="s">
        <v>21</v>
      </c>
      <c r="H2">
        <v>1.48</v>
      </c>
      <c r="I2">
        <v>0.03</v>
      </c>
      <c r="J2">
        <v>0</v>
      </c>
      <c r="K2">
        <v>3.46</v>
      </c>
      <c r="L2">
        <v>56.24</v>
      </c>
      <c r="M2">
        <v>1.51</v>
      </c>
      <c r="N2">
        <v>57.38</v>
      </c>
      <c r="O2" t="s">
        <v>236</v>
      </c>
      <c r="P2">
        <v>0</v>
      </c>
    </row>
    <row r="5" spans="1:16" x14ac:dyDescent="0.25">
      <c r="F5" s="5">
        <f>SUM(F2:F4)</f>
        <v>38</v>
      </c>
      <c r="L5">
        <f>SUM(L2:L4)</f>
        <v>56.24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P4"/>
  <sheetViews>
    <sheetView workbookViewId="0">
      <selection activeCell="L28" sqref="L28"/>
    </sheetView>
  </sheetViews>
  <sheetFormatPr defaultRowHeight="15" x14ac:dyDescent="0.25"/>
  <cols>
    <col min="5" max="5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</v>
      </c>
      <c r="B2" t="s">
        <v>496</v>
      </c>
      <c r="C2" t="s">
        <v>1160</v>
      </c>
      <c r="D2" t="s">
        <v>1161</v>
      </c>
      <c r="E2" t="s">
        <v>20</v>
      </c>
      <c r="F2">
        <v>64.569999999999894</v>
      </c>
      <c r="G2" t="s">
        <v>21</v>
      </c>
      <c r="H2">
        <v>1.65</v>
      </c>
      <c r="I2">
        <v>0</v>
      </c>
      <c r="J2">
        <v>0</v>
      </c>
      <c r="K2">
        <v>0.19</v>
      </c>
      <c r="L2">
        <v>106.54</v>
      </c>
      <c r="M2">
        <v>1.72</v>
      </c>
      <c r="N2">
        <v>111.06</v>
      </c>
      <c r="O2" t="s">
        <v>1162</v>
      </c>
      <c r="P2">
        <v>0</v>
      </c>
    </row>
    <row r="3" spans="1:16" x14ac:dyDescent="0.25">
      <c r="A3" t="s">
        <v>16</v>
      </c>
      <c r="B3" t="s">
        <v>130</v>
      </c>
      <c r="C3" t="s">
        <v>1160</v>
      </c>
      <c r="D3" t="s">
        <v>1161</v>
      </c>
      <c r="E3" t="s">
        <v>20</v>
      </c>
      <c r="F3">
        <v>63.7289999999999</v>
      </c>
      <c r="G3" t="s">
        <v>21</v>
      </c>
      <c r="H3">
        <v>1.69</v>
      </c>
      <c r="I3">
        <v>0</v>
      </c>
      <c r="J3">
        <v>0.02</v>
      </c>
      <c r="K3">
        <v>1.27</v>
      </c>
      <c r="L3">
        <v>107.7</v>
      </c>
      <c r="M3">
        <v>1.81</v>
      </c>
      <c r="N3">
        <v>115.35</v>
      </c>
      <c r="O3" t="s">
        <v>1163</v>
      </c>
      <c r="P3">
        <v>0</v>
      </c>
    </row>
    <row r="4" spans="1:16" x14ac:dyDescent="0.25">
      <c r="F4">
        <f>SUM(F2:F3)</f>
        <v>128.29899999999981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P26"/>
  <sheetViews>
    <sheetView workbookViewId="0">
      <selection activeCell="F26" sqref="F26"/>
    </sheetView>
  </sheetViews>
  <sheetFormatPr defaultRowHeight="15" x14ac:dyDescent="0.25"/>
  <cols>
    <col min="1" max="1" width="10.42578125" bestFit="1" customWidth="1"/>
    <col min="2" max="2" width="32.42578125" bestFit="1" customWidth="1"/>
    <col min="3" max="3" width="10.7109375" bestFit="1" customWidth="1"/>
    <col min="4" max="4" width="18.28515625" bestFit="1" customWidth="1"/>
    <col min="5" max="5" width="22.8554687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42</v>
      </c>
      <c r="B2" s="6" t="s">
        <v>84</v>
      </c>
      <c r="C2" s="6" t="s">
        <v>1164</v>
      </c>
      <c r="D2" s="6" t="s">
        <v>1165</v>
      </c>
      <c r="E2" s="6" t="s">
        <v>30</v>
      </c>
      <c r="F2" s="6">
        <v>27.577000000000002</v>
      </c>
      <c r="G2" s="6" t="s">
        <v>21</v>
      </c>
      <c r="H2" s="6">
        <v>1.43</v>
      </c>
      <c r="I2" s="6">
        <v>0</v>
      </c>
      <c r="J2" s="6">
        <v>0.03</v>
      </c>
      <c r="K2" s="6">
        <v>0.83</v>
      </c>
      <c r="L2" s="6">
        <v>39.44</v>
      </c>
      <c r="M2" s="6">
        <v>1.49</v>
      </c>
      <c r="N2" s="6">
        <v>41.09</v>
      </c>
      <c r="O2" s="6" t="s">
        <v>523</v>
      </c>
      <c r="P2" s="6">
        <v>0</v>
      </c>
    </row>
    <row r="3" spans="1:16" s="6" customFormat="1" x14ac:dyDescent="0.25">
      <c r="A3" s="6" t="s">
        <v>42</v>
      </c>
      <c r="B3" s="6" t="s">
        <v>84</v>
      </c>
      <c r="C3" s="6" t="s">
        <v>1164</v>
      </c>
      <c r="D3" s="6" t="s">
        <v>1165</v>
      </c>
      <c r="E3" s="6" t="s">
        <v>37</v>
      </c>
      <c r="F3" s="6">
        <v>16.135000000000002</v>
      </c>
      <c r="G3" s="6" t="s">
        <v>21</v>
      </c>
      <c r="H3" s="6">
        <v>0.74</v>
      </c>
      <c r="I3" s="6">
        <v>0</v>
      </c>
      <c r="J3" s="6">
        <v>0</v>
      </c>
      <c r="L3" s="6">
        <v>11.94</v>
      </c>
      <c r="M3" s="6">
        <v>0.74</v>
      </c>
      <c r="N3" s="6">
        <v>11.94</v>
      </c>
      <c r="O3" s="6" t="s">
        <v>523</v>
      </c>
      <c r="P3" s="6">
        <v>0</v>
      </c>
    </row>
    <row r="4" spans="1:16" s="6" customFormat="1" x14ac:dyDescent="0.25">
      <c r="A4" s="6" t="s">
        <v>51</v>
      </c>
      <c r="B4" s="6" t="s">
        <v>445</v>
      </c>
      <c r="C4" s="6" t="s">
        <v>1166</v>
      </c>
      <c r="D4" s="6" t="s">
        <v>1167</v>
      </c>
      <c r="E4" s="6" t="s">
        <v>30</v>
      </c>
      <c r="F4" s="6">
        <v>21</v>
      </c>
      <c r="G4" s="6" t="s">
        <v>21</v>
      </c>
      <c r="H4" s="6">
        <v>1.43</v>
      </c>
      <c r="I4" s="6">
        <v>0</v>
      </c>
      <c r="J4" s="6">
        <v>0.03</v>
      </c>
      <c r="K4" s="6">
        <v>0.63</v>
      </c>
      <c r="L4" s="6">
        <v>30.03</v>
      </c>
      <c r="M4" s="6">
        <v>1.48</v>
      </c>
      <c r="N4" s="6">
        <v>31.08</v>
      </c>
      <c r="O4" s="6" t="s">
        <v>986</v>
      </c>
      <c r="P4" s="6">
        <v>69210</v>
      </c>
    </row>
    <row r="5" spans="1:16" s="6" customFormat="1" x14ac:dyDescent="0.25">
      <c r="A5" s="6" t="s">
        <v>56</v>
      </c>
      <c r="B5" s="6" t="s">
        <v>254</v>
      </c>
      <c r="C5" s="6" t="s">
        <v>1168</v>
      </c>
      <c r="D5" s="6" t="s">
        <v>1169</v>
      </c>
      <c r="E5" s="6" t="s">
        <v>30</v>
      </c>
      <c r="F5" s="6">
        <v>35.546999999999898</v>
      </c>
      <c r="G5" s="6" t="s">
        <v>21</v>
      </c>
      <c r="H5" s="6">
        <v>1.43</v>
      </c>
      <c r="I5" s="6">
        <v>0</v>
      </c>
      <c r="J5" s="6">
        <v>0.03</v>
      </c>
      <c r="K5" s="6">
        <v>1.07</v>
      </c>
      <c r="L5" s="6">
        <v>50.83</v>
      </c>
      <c r="M5" s="6">
        <v>1.48</v>
      </c>
      <c r="N5" s="6">
        <v>52.61</v>
      </c>
      <c r="O5" s="6" t="s">
        <v>200</v>
      </c>
      <c r="P5" s="6">
        <v>0</v>
      </c>
    </row>
    <row r="6" spans="1:16" s="6" customFormat="1" x14ac:dyDescent="0.25">
      <c r="A6" s="6" t="s">
        <v>58</v>
      </c>
      <c r="B6" s="6" t="s">
        <v>84</v>
      </c>
      <c r="C6" s="6" t="s">
        <v>1170</v>
      </c>
      <c r="D6" s="6" t="s">
        <v>1171</v>
      </c>
      <c r="E6" s="6" t="s">
        <v>30</v>
      </c>
      <c r="F6" s="6">
        <v>23.867999999999899</v>
      </c>
      <c r="G6" s="6" t="s">
        <v>21</v>
      </c>
      <c r="H6" s="6">
        <v>1.43</v>
      </c>
      <c r="I6" s="6">
        <v>0</v>
      </c>
      <c r="J6" s="6">
        <v>0.03</v>
      </c>
      <c r="K6" s="6">
        <v>0.72</v>
      </c>
      <c r="L6" s="6">
        <v>34.130000000000003</v>
      </c>
      <c r="M6" s="6">
        <v>1.51</v>
      </c>
      <c r="N6" s="6">
        <v>36.04</v>
      </c>
      <c r="O6" s="6" t="s">
        <v>1172</v>
      </c>
      <c r="P6" s="6">
        <v>0</v>
      </c>
    </row>
    <row r="7" spans="1:16" s="6" customFormat="1" x14ac:dyDescent="0.25">
      <c r="A7" s="6" t="s">
        <v>58</v>
      </c>
      <c r="B7" s="6" t="s">
        <v>84</v>
      </c>
      <c r="C7" s="6" t="s">
        <v>1173</v>
      </c>
      <c r="D7" s="6" t="s">
        <v>1174</v>
      </c>
      <c r="E7" s="6" t="s">
        <v>30</v>
      </c>
      <c r="F7" s="6">
        <v>27.901</v>
      </c>
      <c r="G7" s="6" t="s">
        <v>21</v>
      </c>
      <c r="H7" s="6">
        <v>1.43</v>
      </c>
      <c r="I7" s="6">
        <v>0</v>
      </c>
      <c r="J7" s="6">
        <v>0.03</v>
      </c>
      <c r="K7" s="6">
        <v>0.84</v>
      </c>
      <c r="L7" s="6">
        <v>39.9</v>
      </c>
      <c r="M7" s="6">
        <v>1.51</v>
      </c>
      <c r="N7" s="6">
        <v>42.13</v>
      </c>
      <c r="O7" s="6" t="s">
        <v>701</v>
      </c>
      <c r="P7" s="6">
        <v>0</v>
      </c>
    </row>
    <row r="8" spans="1:16" s="6" customFormat="1" x14ac:dyDescent="0.25">
      <c r="A8" s="6" t="s">
        <v>66</v>
      </c>
      <c r="B8" s="6" t="s">
        <v>219</v>
      </c>
      <c r="C8" s="6" t="s">
        <v>1175</v>
      </c>
      <c r="D8" s="6" t="s">
        <v>1176</v>
      </c>
      <c r="E8" s="6" t="s">
        <v>30</v>
      </c>
      <c r="F8" s="6">
        <v>33.332999999999899</v>
      </c>
      <c r="G8" s="6" t="s">
        <v>21</v>
      </c>
      <c r="H8" s="6">
        <v>1.43</v>
      </c>
      <c r="I8" s="6">
        <v>0</v>
      </c>
      <c r="J8" s="6">
        <v>0.03</v>
      </c>
      <c r="K8" s="6">
        <v>1</v>
      </c>
      <c r="L8" s="6">
        <v>47.67</v>
      </c>
      <c r="M8" s="6">
        <v>1.5</v>
      </c>
      <c r="N8" s="6">
        <v>50</v>
      </c>
      <c r="O8" s="6" t="s">
        <v>1177</v>
      </c>
      <c r="P8" s="6">
        <v>0</v>
      </c>
    </row>
    <row r="9" spans="1:16" s="6" customFormat="1" x14ac:dyDescent="0.25">
      <c r="A9" s="6" t="s">
        <v>66</v>
      </c>
      <c r="B9" s="6" t="s">
        <v>173</v>
      </c>
      <c r="C9" s="6" t="s">
        <v>1168</v>
      </c>
      <c r="D9" s="6" t="s">
        <v>1169</v>
      </c>
      <c r="E9" s="6" t="s">
        <v>30</v>
      </c>
      <c r="F9" s="6">
        <v>28.733000000000001</v>
      </c>
      <c r="G9" s="6" t="s">
        <v>21</v>
      </c>
      <c r="H9" s="6">
        <v>1.43</v>
      </c>
      <c r="I9" s="6">
        <v>0</v>
      </c>
      <c r="J9" s="6">
        <v>0.03</v>
      </c>
      <c r="K9" s="6">
        <v>0.86</v>
      </c>
      <c r="L9" s="6">
        <v>41.09</v>
      </c>
      <c r="M9" s="6">
        <v>1.5</v>
      </c>
      <c r="N9" s="6">
        <v>43.1</v>
      </c>
      <c r="O9" s="6" t="s">
        <v>1178</v>
      </c>
      <c r="P9" s="6">
        <v>0</v>
      </c>
    </row>
    <row r="10" spans="1:16" s="6" customFormat="1" x14ac:dyDescent="0.25">
      <c r="A10" s="6" t="s">
        <v>134</v>
      </c>
      <c r="B10" s="6" t="s">
        <v>1179</v>
      </c>
      <c r="C10" s="6" t="s">
        <v>1166</v>
      </c>
      <c r="D10" s="6" t="s">
        <v>1167</v>
      </c>
      <c r="E10" s="6" t="s">
        <v>30</v>
      </c>
      <c r="F10" s="6">
        <v>13.238</v>
      </c>
      <c r="G10" s="6" t="s">
        <v>21</v>
      </c>
      <c r="H10" s="6">
        <v>1.43</v>
      </c>
      <c r="I10" s="6">
        <v>0</v>
      </c>
      <c r="J10" s="6">
        <v>0.03</v>
      </c>
      <c r="K10" s="6">
        <v>0.4</v>
      </c>
      <c r="L10" s="6">
        <v>18.93</v>
      </c>
      <c r="M10" s="6">
        <v>1.51</v>
      </c>
      <c r="N10" s="6">
        <v>19.989999999999998</v>
      </c>
      <c r="O10" s="6" t="s">
        <v>1177</v>
      </c>
      <c r="P10" s="6">
        <v>69800</v>
      </c>
    </row>
    <row r="11" spans="1:16" s="6" customFormat="1" x14ac:dyDescent="0.25">
      <c r="A11" s="6" t="s">
        <v>136</v>
      </c>
      <c r="B11" s="6" t="s">
        <v>84</v>
      </c>
      <c r="C11" s="6" t="s">
        <v>1180</v>
      </c>
      <c r="D11" s="6" t="s">
        <v>1181</v>
      </c>
      <c r="E11" s="6" t="s">
        <v>64</v>
      </c>
      <c r="F11" s="6">
        <v>58.287999999999897</v>
      </c>
      <c r="G11" s="6" t="s">
        <v>21</v>
      </c>
      <c r="H11" s="6">
        <v>1.85</v>
      </c>
      <c r="I11" s="6">
        <v>0</v>
      </c>
      <c r="J11" s="6">
        <v>0.09</v>
      </c>
      <c r="K11" s="6">
        <v>5.25</v>
      </c>
      <c r="L11" s="6">
        <v>107.83</v>
      </c>
      <c r="M11" s="6">
        <v>2.0499999999999998</v>
      </c>
      <c r="N11" s="6">
        <v>119.49</v>
      </c>
      <c r="O11" s="6" t="s">
        <v>374</v>
      </c>
      <c r="P11" s="6">
        <v>0</v>
      </c>
    </row>
    <row r="12" spans="1:16" s="6" customFormat="1" x14ac:dyDescent="0.25">
      <c r="A12" s="6" t="s">
        <v>70</v>
      </c>
      <c r="B12" s="6" t="s">
        <v>84</v>
      </c>
      <c r="C12" s="6" t="s">
        <v>1173</v>
      </c>
      <c r="D12" s="6" t="s">
        <v>1174</v>
      </c>
      <c r="E12" s="6" t="s">
        <v>30</v>
      </c>
      <c r="F12" s="6">
        <v>25.98</v>
      </c>
      <c r="G12" s="6" t="s">
        <v>21</v>
      </c>
      <c r="H12" s="6">
        <v>1.44</v>
      </c>
      <c r="I12" s="6">
        <v>0</v>
      </c>
      <c r="J12" s="6">
        <v>0.03</v>
      </c>
      <c r="K12" s="6">
        <v>0.78</v>
      </c>
      <c r="L12" s="6">
        <v>37.409999999999997</v>
      </c>
      <c r="M12" s="6">
        <v>1.52</v>
      </c>
      <c r="N12" s="6">
        <v>39.49</v>
      </c>
      <c r="O12" s="6" t="s">
        <v>645</v>
      </c>
      <c r="P12" s="6">
        <v>0</v>
      </c>
    </row>
    <row r="13" spans="1:16" s="6" customFormat="1" x14ac:dyDescent="0.25">
      <c r="A13" s="6" t="s">
        <v>70</v>
      </c>
      <c r="B13" s="6" t="s">
        <v>242</v>
      </c>
      <c r="C13" s="6" t="s">
        <v>1175</v>
      </c>
      <c r="D13" s="6" t="s">
        <v>1176</v>
      </c>
      <c r="E13" s="6" t="s">
        <v>30</v>
      </c>
      <c r="F13" s="6">
        <v>31.27</v>
      </c>
      <c r="G13" s="6" t="s">
        <v>21</v>
      </c>
      <c r="H13" s="6">
        <v>1.44</v>
      </c>
      <c r="I13" s="6">
        <v>0</v>
      </c>
      <c r="J13" s="6">
        <v>0.03</v>
      </c>
      <c r="K13" s="6">
        <v>0.94</v>
      </c>
      <c r="L13" s="6">
        <v>45.03</v>
      </c>
      <c r="M13" s="6">
        <v>1.52</v>
      </c>
      <c r="N13" s="6">
        <v>47.53</v>
      </c>
      <c r="O13" s="6" t="s">
        <v>1154</v>
      </c>
      <c r="P13" s="6">
        <v>0</v>
      </c>
    </row>
    <row r="14" spans="1:16" s="6" customFormat="1" x14ac:dyDescent="0.25">
      <c r="A14" s="6" t="s">
        <v>141</v>
      </c>
      <c r="B14" s="6" t="s">
        <v>608</v>
      </c>
      <c r="C14" s="6" t="s">
        <v>1175</v>
      </c>
      <c r="D14" s="6" t="s">
        <v>1176</v>
      </c>
      <c r="E14" s="6" t="s">
        <v>30</v>
      </c>
      <c r="F14" s="6">
        <v>30.709</v>
      </c>
      <c r="G14" s="6" t="s">
        <v>21</v>
      </c>
      <c r="H14" s="6">
        <v>1.43</v>
      </c>
      <c r="I14" s="6">
        <v>0</v>
      </c>
      <c r="J14" s="6">
        <v>0.03</v>
      </c>
      <c r="K14" s="6">
        <v>0.92</v>
      </c>
      <c r="L14" s="6">
        <v>43.91</v>
      </c>
      <c r="M14" s="6">
        <v>1.51</v>
      </c>
      <c r="N14" s="6">
        <v>46.37</v>
      </c>
      <c r="O14" s="6" t="s">
        <v>1182</v>
      </c>
      <c r="P14" s="6">
        <v>0</v>
      </c>
    </row>
    <row r="15" spans="1:16" s="6" customFormat="1" x14ac:dyDescent="0.25">
      <c r="A15" s="6" t="s">
        <v>449</v>
      </c>
      <c r="B15" s="6" t="s">
        <v>353</v>
      </c>
      <c r="C15" s="6" t="s">
        <v>1170</v>
      </c>
      <c r="D15" s="6" t="s">
        <v>1171</v>
      </c>
      <c r="E15" s="6" t="s">
        <v>30</v>
      </c>
      <c r="F15" s="6">
        <v>23.401</v>
      </c>
      <c r="G15" s="6" t="s">
        <v>21</v>
      </c>
      <c r="H15" s="6">
        <v>1.43</v>
      </c>
      <c r="I15" s="6">
        <v>0</v>
      </c>
      <c r="J15" s="6">
        <v>0.03</v>
      </c>
      <c r="K15" s="6">
        <v>0.7</v>
      </c>
      <c r="L15" s="6">
        <v>33.46</v>
      </c>
      <c r="M15" s="6">
        <v>1.52</v>
      </c>
      <c r="N15" s="6">
        <v>35.57</v>
      </c>
      <c r="O15" s="6" t="s">
        <v>1183</v>
      </c>
      <c r="P15" s="6">
        <v>0</v>
      </c>
    </row>
    <row r="16" spans="1:16" s="6" customFormat="1" x14ac:dyDescent="0.25">
      <c r="A16" s="6" t="s">
        <v>163</v>
      </c>
      <c r="B16" s="6" t="s">
        <v>608</v>
      </c>
      <c r="C16" s="6" t="s">
        <v>1175</v>
      </c>
      <c r="D16" s="6" t="s">
        <v>1176</v>
      </c>
      <c r="E16" s="6" t="s">
        <v>87</v>
      </c>
      <c r="F16" s="6">
        <v>39.988999999999898</v>
      </c>
      <c r="G16" s="6" t="s">
        <v>21</v>
      </c>
      <c r="H16" s="6">
        <v>1.71</v>
      </c>
      <c r="I16" s="6">
        <v>0</v>
      </c>
      <c r="J16" s="6">
        <v>7.0000000000000007E-2</v>
      </c>
      <c r="K16" s="6">
        <v>2.8</v>
      </c>
      <c r="L16" s="6">
        <v>68.38</v>
      </c>
      <c r="M16" s="6">
        <v>1.76</v>
      </c>
      <c r="N16" s="6">
        <v>70.38</v>
      </c>
      <c r="O16" s="6" t="s">
        <v>1184</v>
      </c>
      <c r="P16" s="6">
        <v>0</v>
      </c>
    </row>
    <row r="17" spans="1:16" s="6" customFormat="1" x14ac:dyDescent="0.25">
      <c r="A17" s="6" t="s">
        <v>72</v>
      </c>
      <c r="B17" s="6" t="s">
        <v>254</v>
      </c>
      <c r="C17" s="6" t="s">
        <v>1168</v>
      </c>
      <c r="D17" s="6" t="s">
        <v>1169</v>
      </c>
      <c r="E17" s="6" t="s">
        <v>30</v>
      </c>
      <c r="F17" s="6">
        <v>33.290999999999897</v>
      </c>
      <c r="G17" s="6" t="s">
        <v>21</v>
      </c>
      <c r="H17" s="6">
        <v>1.43</v>
      </c>
      <c r="I17" s="6">
        <v>0</v>
      </c>
      <c r="J17" s="6">
        <v>0.03</v>
      </c>
      <c r="K17" s="6">
        <v>1</v>
      </c>
      <c r="L17" s="6">
        <v>47.61</v>
      </c>
      <c r="M17" s="6">
        <v>1.51</v>
      </c>
      <c r="N17" s="6">
        <v>50.27</v>
      </c>
      <c r="O17" s="6" t="s">
        <v>1185</v>
      </c>
      <c r="P17" s="6">
        <v>0</v>
      </c>
    </row>
    <row r="18" spans="1:16" s="6" customFormat="1" x14ac:dyDescent="0.25">
      <c r="A18" s="6" t="s">
        <v>145</v>
      </c>
      <c r="B18" s="6" t="s">
        <v>84</v>
      </c>
      <c r="C18" s="6" t="s">
        <v>1173</v>
      </c>
      <c r="D18" s="6" t="s">
        <v>1174</v>
      </c>
      <c r="E18" s="6" t="s">
        <v>30</v>
      </c>
      <c r="F18" s="6">
        <v>25.77</v>
      </c>
      <c r="G18" s="6" t="s">
        <v>21</v>
      </c>
      <c r="H18" s="6">
        <v>1.43</v>
      </c>
      <c r="I18" s="6">
        <v>0</v>
      </c>
      <c r="J18" s="6">
        <v>0.03</v>
      </c>
      <c r="K18" s="6">
        <v>0.77</v>
      </c>
      <c r="L18" s="6">
        <v>36.85</v>
      </c>
      <c r="M18" s="6">
        <v>1.52</v>
      </c>
      <c r="N18" s="6">
        <v>39.17</v>
      </c>
      <c r="O18" s="6" t="s">
        <v>462</v>
      </c>
      <c r="P18" s="6">
        <v>0</v>
      </c>
    </row>
    <row r="19" spans="1:16" s="6" customFormat="1" x14ac:dyDescent="0.25">
      <c r="A19" s="6" t="s">
        <v>83</v>
      </c>
      <c r="B19" s="6" t="s">
        <v>277</v>
      </c>
      <c r="C19" s="6" t="s">
        <v>1170</v>
      </c>
      <c r="D19" s="6" t="s">
        <v>1171</v>
      </c>
      <c r="E19" s="6" t="s">
        <v>30</v>
      </c>
      <c r="F19" s="6">
        <v>31.716999999999899</v>
      </c>
      <c r="G19" s="6" t="s">
        <v>21</v>
      </c>
      <c r="H19" s="6">
        <v>1.42</v>
      </c>
      <c r="I19" s="6">
        <v>0</v>
      </c>
      <c r="J19" s="6">
        <v>0.03</v>
      </c>
      <c r="K19" s="6">
        <v>0.95</v>
      </c>
      <c r="L19" s="6">
        <v>45.04</v>
      </c>
      <c r="M19" s="6">
        <v>1.52</v>
      </c>
      <c r="N19" s="6">
        <v>48.21</v>
      </c>
      <c r="O19" s="6" t="s">
        <v>1186</v>
      </c>
      <c r="P19" s="6">
        <v>0</v>
      </c>
    </row>
    <row r="20" spans="1:16" x14ac:dyDescent="0.25">
      <c r="F20">
        <f>SUM(F2:F19)</f>
        <v>527.74699999999928</v>
      </c>
    </row>
    <row r="23" spans="1:16" x14ac:dyDescent="0.25">
      <c r="E23" s="6" t="s">
        <v>30</v>
      </c>
      <c r="F23" s="6">
        <v>413.33499999999998</v>
      </c>
    </row>
    <row r="24" spans="1:16" x14ac:dyDescent="0.25">
      <c r="E24" s="6" t="s">
        <v>64</v>
      </c>
      <c r="F24" s="6">
        <v>58.287999999999897</v>
      </c>
    </row>
    <row r="25" spans="1:16" x14ac:dyDescent="0.25">
      <c r="E25" s="6" t="s">
        <v>37</v>
      </c>
      <c r="F25" s="6">
        <v>16.135000000000002</v>
      </c>
    </row>
    <row r="26" spans="1:16" x14ac:dyDescent="0.25">
      <c r="E26" s="6" t="s">
        <v>87</v>
      </c>
      <c r="F26" s="6">
        <v>39.988999999999898</v>
      </c>
    </row>
  </sheetData>
  <autoFilter ref="A1:P20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P32"/>
  <sheetViews>
    <sheetView topLeftCell="A13" workbookViewId="0">
      <selection activeCell="G38" sqref="G38"/>
    </sheetView>
  </sheetViews>
  <sheetFormatPr defaultRowHeight="15" x14ac:dyDescent="0.25"/>
  <cols>
    <col min="1" max="1" width="10.42578125" bestFit="1" customWidth="1"/>
    <col min="2" max="2" width="32" bestFit="1" customWidth="1"/>
    <col min="3" max="3" width="9.85546875" bestFit="1" customWidth="1"/>
    <col min="4" max="4" width="18.28515625" bestFit="1" customWidth="1"/>
    <col min="5" max="5" width="22.85546875" bestFit="1" customWidth="1"/>
    <col min="6" max="6" width="9.28515625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207</v>
      </c>
      <c r="C2" t="s">
        <v>1187</v>
      </c>
      <c r="D2" t="s">
        <v>1188</v>
      </c>
      <c r="E2" t="s">
        <v>37</v>
      </c>
      <c r="F2">
        <v>40.985999999999898</v>
      </c>
      <c r="G2" t="s">
        <v>21</v>
      </c>
      <c r="H2">
        <v>0.73</v>
      </c>
      <c r="I2">
        <v>0</v>
      </c>
      <c r="J2">
        <v>0</v>
      </c>
      <c r="L2">
        <v>29.92</v>
      </c>
      <c r="M2">
        <v>0.73</v>
      </c>
      <c r="N2">
        <v>29.92</v>
      </c>
      <c r="O2" t="s">
        <v>224</v>
      </c>
      <c r="P2">
        <v>0</v>
      </c>
    </row>
    <row r="3" spans="1:16" x14ac:dyDescent="0.25">
      <c r="A3" t="s">
        <v>42</v>
      </c>
      <c r="B3" t="s">
        <v>173</v>
      </c>
      <c r="C3" t="s">
        <v>1189</v>
      </c>
      <c r="D3" t="s">
        <v>1190</v>
      </c>
      <c r="E3" t="s">
        <v>37</v>
      </c>
      <c r="F3">
        <v>52.055</v>
      </c>
      <c r="G3" t="s">
        <v>21</v>
      </c>
      <c r="H3">
        <v>0.73</v>
      </c>
      <c r="I3">
        <v>0</v>
      </c>
      <c r="J3">
        <v>0</v>
      </c>
      <c r="L3">
        <v>38</v>
      </c>
      <c r="M3">
        <v>0.73</v>
      </c>
      <c r="N3">
        <v>38</v>
      </c>
      <c r="O3" t="s">
        <v>349</v>
      </c>
      <c r="P3">
        <v>0</v>
      </c>
    </row>
    <row r="4" spans="1:16" x14ac:dyDescent="0.25">
      <c r="A4" t="s">
        <v>56</v>
      </c>
      <c r="B4" t="s">
        <v>84</v>
      </c>
      <c r="C4" t="s">
        <v>1189</v>
      </c>
      <c r="D4" t="s">
        <v>1190</v>
      </c>
      <c r="E4" t="s">
        <v>37</v>
      </c>
      <c r="F4">
        <v>52.345999999999897</v>
      </c>
      <c r="G4" t="s">
        <v>21</v>
      </c>
      <c r="H4">
        <v>0.78</v>
      </c>
      <c r="I4">
        <v>0</v>
      </c>
      <c r="J4">
        <v>0</v>
      </c>
      <c r="L4">
        <v>40.83</v>
      </c>
      <c r="M4">
        <v>0.78</v>
      </c>
      <c r="N4">
        <v>40.83</v>
      </c>
      <c r="O4" t="s">
        <v>639</v>
      </c>
      <c r="P4">
        <v>0</v>
      </c>
    </row>
    <row r="5" spans="1:16" s="6" customFormat="1" x14ac:dyDescent="0.25">
      <c r="A5" s="6" t="s">
        <v>185</v>
      </c>
      <c r="B5" s="6" t="s">
        <v>84</v>
      </c>
      <c r="C5" s="6" t="s">
        <v>1191</v>
      </c>
      <c r="D5" s="6" t="s">
        <v>1192</v>
      </c>
      <c r="E5" s="6" t="s">
        <v>20</v>
      </c>
      <c r="F5" s="6">
        <v>41.7899999999999</v>
      </c>
      <c r="G5" s="6" t="s">
        <v>21</v>
      </c>
      <c r="H5" s="6">
        <v>1.73</v>
      </c>
      <c r="I5" s="6">
        <v>0</v>
      </c>
      <c r="J5" s="6">
        <v>0.01</v>
      </c>
      <c r="K5" s="6">
        <v>0.42</v>
      </c>
      <c r="L5" s="6">
        <v>72.3</v>
      </c>
      <c r="M5" s="6">
        <v>1.76</v>
      </c>
      <c r="N5" s="6">
        <v>73.55</v>
      </c>
      <c r="O5" s="6" t="s">
        <v>1122</v>
      </c>
      <c r="P5" s="6">
        <v>204700</v>
      </c>
    </row>
    <row r="6" spans="1:16" x14ac:dyDescent="0.25">
      <c r="A6" t="s">
        <v>185</v>
      </c>
      <c r="B6" t="s">
        <v>242</v>
      </c>
      <c r="C6" t="s">
        <v>1193</v>
      </c>
      <c r="D6" t="s">
        <v>1194</v>
      </c>
      <c r="E6" t="s">
        <v>37</v>
      </c>
      <c r="F6">
        <v>35.345999999999897</v>
      </c>
      <c r="G6" t="s">
        <v>21</v>
      </c>
      <c r="H6">
        <v>0.81</v>
      </c>
      <c r="I6">
        <v>0</v>
      </c>
      <c r="J6">
        <v>0</v>
      </c>
      <c r="L6">
        <v>28.63</v>
      </c>
      <c r="M6">
        <v>0.81</v>
      </c>
      <c r="N6">
        <v>28.63</v>
      </c>
      <c r="O6" t="s">
        <v>1195</v>
      </c>
      <c r="P6">
        <v>0</v>
      </c>
    </row>
    <row r="7" spans="1:16" x14ac:dyDescent="0.25">
      <c r="A7" t="s">
        <v>185</v>
      </c>
      <c r="B7" t="s">
        <v>242</v>
      </c>
      <c r="C7" t="s">
        <v>1187</v>
      </c>
      <c r="D7" t="s">
        <v>1188</v>
      </c>
      <c r="E7" t="s">
        <v>37</v>
      </c>
      <c r="F7">
        <v>40.555999999999898</v>
      </c>
      <c r="G7" t="s">
        <v>21</v>
      </c>
      <c r="H7">
        <v>0.81</v>
      </c>
      <c r="I7">
        <v>0</v>
      </c>
      <c r="J7">
        <v>0</v>
      </c>
      <c r="L7">
        <v>32.85</v>
      </c>
      <c r="M7">
        <v>0.81</v>
      </c>
      <c r="N7">
        <v>32.85</v>
      </c>
      <c r="O7" t="s">
        <v>57</v>
      </c>
      <c r="P7">
        <v>0</v>
      </c>
    </row>
    <row r="8" spans="1:16" x14ac:dyDescent="0.25">
      <c r="A8" t="s">
        <v>58</v>
      </c>
      <c r="B8" t="s">
        <v>84</v>
      </c>
      <c r="C8" t="s">
        <v>1189</v>
      </c>
      <c r="D8" t="s">
        <v>1190</v>
      </c>
      <c r="E8" t="s">
        <v>37</v>
      </c>
      <c r="F8">
        <v>39.805</v>
      </c>
      <c r="G8" t="s">
        <v>21</v>
      </c>
      <c r="H8">
        <v>0.82</v>
      </c>
      <c r="I8">
        <v>0</v>
      </c>
      <c r="J8">
        <v>0</v>
      </c>
      <c r="L8">
        <v>32.64</v>
      </c>
      <c r="M8">
        <v>0.82</v>
      </c>
      <c r="N8">
        <v>32.64</v>
      </c>
      <c r="O8" t="s">
        <v>1196</v>
      </c>
      <c r="P8">
        <v>0</v>
      </c>
    </row>
    <row r="9" spans="1:16" s="6" customFormat="1" x14ac:dyDescent="0.25">
      <c r="A9" s="6" t="s">
        <v>111</v>
      </c>
      <c r="B9" s="6" t="s">
        <v>84</v>
      </c>
      <c r="C9" s="6" t="s">
        <v>1197</v>
      </c>
      <c r="D9" s="6" t="s">
        <v>1198</v>
      </c>
      <c r="E9" s="6" t="s">
        <v>20</v>
      </c>
      <c r="F9" s="6">
        <v>41.802</v>
      </c>
      <c r="G9" s="6" t="s">
        <v>21</v>
      </c>
      <c r="H9" s="6">
        <v>1.73</v>
      </c>
      <c r="I9" s="6">
        <v>0</v>
      </c>
      <c r="J9" s="6">
        <v>0.01</v>
      </c>
      <c r="K9" s="6">
        <v>0.42</v>
      </c>
      <c r="L9" s="6">
        <v>72.319999999999993</v>
      </c>
      <c r="M9" s="6">
        <v>1.77</v>
      </c>
      <c r="N9" s="6">
        <v>73.989999999999995</v>
      </c>
      <c r="O9" s="6" t="s">
        <v>1199</v>
      </c>
      <c r="P9" s="6">
        <v>0</v>
      </c>
    </row>
    <row r="10" spans="1:16" x14ac:dyDescent="0.25">
      <c r="A10" t="s">
        <v>66</v>
      </c>
      <c r="B10" t="s">
        <v>84</v>
      </c>
      <c r="C10" t="s">
        <v>1189</v>
      </c>
      <c r="D10" t="s">
        <v>1190</v>
      </c>
      <c r="E10" t="s">
        <v>37</v>
      </c>
      <c r="F10">
        <v>41.573</v>
      </c>
      <c r="G10" t="s">
        <v>21</v>
      </c>
      <c r="H10">
        <v>0.82</v>
      </c>
      <c r="I10">
        <v>0</v>
      </c>
      <c r="J10">
        <v>0</v>
      </c>
      <c r="L10">
        <v>34.090000000000003</v>
      </c>
      <c r="M10">
        <v>0.82</v>
      </c>
      <c r="N10">
        <v>34.090000000000003</v>
      </c>
      <c r="O10" t="s">
        <v>1200</v>
      </c>
      <c r="P10">
        <v>0</v>
      </c>
    </row>
    <row r="11" spans="1:16" s="6" customFormat="1" x14ac:dyDescent="0.25">
      <c r="A11" s="6" t="s">
        <v>114</v>
      </c>
      <c r="B11" s="6" t="s">
        <v>84</v>
      </c>
      <c r="C11" s="6" t="s">
        <v>1201</v>
      </c>
      <c r="D11" s="6" t="s">
        <v>1202</v>
      </c>
      <c r="E11" s="6" t="s">
        <v>20</v>
      </c>
      <c r="F11" s="6">
        <v>38.652000000000001</v>
      </c>
      <c r="G11" s="6" t="s">
        <v>21</v>
      </c>
      <c r="H11" s="6">
        <v>1.76</v>
      </c>
      <c r="I11" s="6">
        <v>0</v>
      </c>
      <c r="J11" s="6">
        <v>0.02</v>
      </c>
      <c r="K11" s="6">
        <v>0.77</v>
      </c>
      <c r="L11" s="6">
        <v>68.03</v>
      </c>
      <c r="M11" s="6">
        <v>1.81</v>
      </c>
      <c r="N11" s="6">
        <v>69.959999999999994</v>
      </c>
      <c r="O11" s="6" t="s">
        <v>1157</v>
      </c>
      <c r="P11" s="6">
        <v>0</v>
      </c>
    </row>
    <row r="12" spans="1:16" x14ac:dyDescent="0.25">
      <c r="A12" t="s">
        <v>114</v>
      </c>
      <c r="B12" t="s">
        <v>84</v>
      </c>
      <c r="C12" t="s">
        <v>1189</v>
      </c>
      <c r="D12" t="s">
        <v>1190</v>
      </c>
      <c r="E12" t="s">
        <v>37</v>
      </c>
      <c r="F12">
        <v>46.701999999999899</v>
      </c>
      <c r="G12" t="s">
        <v>21</v>
      </c>
      <c r="H12">
        <v>0.84</v>
      </c>
      <c r="I12">
        <v>0</v>
      </c>
      <c r="J12">
        <v>0</v>
      </c>
      <c r="L12">
        <v>39.229999999999997</v>
      </c>
      <c r="M12">
        <v>0.84</v>
      </c>
      <c r="N12">
        <v>39.229999999999997</v>
      </c>
      <c r="O12" t="s">
        <v>1203</v>
      </c>
      <c r="P12">
        <v>0</v>
      </c>
    </row>
    <row r="13" spans="1:16" s="6" customFormat="1" x14ac:dyDescent="0.25">
      <c r="A13" s="6" t="s">
        <v>114</v>
      </c>
      <c r="B13" s="6" t="s">
        <v>1204</v>
      </c>
      <c r="C13" s="6" t="s">
        <v>1205</v>
      </c>
      <c r="D13" s="6" t="s">
        <v>1206</v>
      </c>
      <c r="E13" s="6" t="s">
        <v>20</v>
      </c>
      <c r="F13" s="6">
        <v>34.279000000000003</v>
      </c>
      <c r="G13" s="6" t="s">
        <v>21</v>
      </c>
      <c r="H13" s="6">
        <v>1.76</v>
      </c>
      <c r="I13" s="6">
        <v>0</v>
      </c>
      <c r="J13" s="6">
        <v>0.02</v>
      </c>
      <c r="K13" s="6">
        <v>0.69</v>
      </c>
      <c r="L13" s="6">
        <v>60.33</v>
      </c>
      <c r="M13" s="6">
        <v>1.79</v>
      </c>
      <c r="N13" s="6">
        <v>61.36</v>
      </c>
      <c r="O13" s="6" t="s">
        <v>1207</v>
      </c>
      <c r="P13" s="6">
        <v>0</v>
      </c>
    </row>
    <row r="14" spans="1:16" s="6" customFormat="1" x14ac:dyDescent="0.25">
      <c r="A14" s="6" t="s">
        <v>70</v>
      </c>
      <c r="B14" s="6" t="s">
        <v>95</v>
      </c>
      <c r="C14" s="6" t="s">
        <v>1205</v>
      </c>
      <c r="D14" s="6" t="s">
        <v>1206</v>
      </c>
      <c r="E14" s="6" t="s">
        <v>20</v>
      </c>
      <c r="F14" s="6">
        <v>34.8509999999999</v>
      </c>
      <c r="G14" s="6" t="s">
        <v>21</v>
      </c>
      <c r="H14" s="6">
        <v>1.76</v>
      </c>
      <c r="I14" s="6">
        <v>0</v>
      </c>
      <c r="J14" s="6">
        <v>0.02</v>
      </c>
      <c r="K14" s="6">
        <v>0.7</v>
      </c>
      <c r="L14" s="6">
        <v>61.34</v>
      </c>
      <c r="M14" s="6">
        <v>1.81</v>
      </c>
      <c r="N14" s="6">
        <v>63.08</v>
      </c>
      <c r="O14" s="6" t="s">
        <v>1130</v>
      </c>
      <c r="P14" s="6">
        <v>0</v>
      </c>
    </row>
    <row r="15" spans="1:16" s="6" customFormat="1" x14ac:dyDescent="0.25">
      <c r="A15" s="6" t="s">
        <v>70</v>
      </c>
      <c r="B15" s="6" t="s">
        <v>242</v>
      </c>
      <c r="C15" s="6" t="s">
        <v>1187</v>
      </c>
      <c r="D15" s="6" t="s">
        <v>1188</v>
      </c>
      <c r="E15" s="6" t="s">
        <v>30</v>
      </c>
      <c r="F15" s="6">
        <v>39</v>
      </c>
      <c r="G15" s="6" t="s">
        <v>21</v>
      </c>
      <c r="H15" s="6">
        <v>1.44</v>
      </c>
      <c r="I15" s="6">
        <v>0</v>
      </c>
      <c r="J15" s="6">
        <v>0.03</v>
      </c>
      <c r="K15" s="6">
        <v>1.17</v>
      </c>
      <c r="L15" s="6">
        <v>56.16</v>
      </c>
      <c r="M15" s="6">
        <v>1.52</v>
      </c>
      <c r="N15" s="6">
        <v>59.28</v>
      </c>
      <c r="O15" s="6" t="s">
        <v>966</v>
      </c>
      <c r="P15" s="6">
        <v>0</v>
      </c>
    </row>
    <row r="16" spans="1:16" x14ac:dyDescent="0.25">
      <c r="A16" t="s">
        <v>70</v>
      </c>
      <c r="B16" t="s">
        <v>242</v>
      </c>
      <c r="C16" t="s">
        <v>1187</v>
      </c>
      <c r="D16" t="s">
        <v>1188</v>
      </c>
      <c r="E16" t="s">
        <v>37</v>
      </c>
      <c r="F16">
        <v>32.024000000000001</v>
      </c>
      <c r="G16" t="s">
        <v>21</v>
      </c>
      <c r="H16">
        <v>0.83</v>
      </c>
      <c r="I16">
        <v>0</v>
      </c>
      <c r="J16">
        <v>0</v>
      </c>
      <c r="L16">
        <v>26.58</v>
      </c>
      <c r="M16">
        <v>0.83</v>
      </c>
      <c r="N16">
        <v>26.58</v>
      </c>
      <c r="O16" t="s">
        <v>92</v>
      </c>
      <c r="P16">
        <v>0</v>
      </c>
    </row>
    <row r="17" spans="1:16" x14ac:dyDescent="0.25">
      <c r="A17" t="s">
        <v>141</v>
      </c>
      <c r="B17" t="s">
        <v>84</v>
      </c>
      <c r="C17" t="s">
        <v>1189</v>
      </c>
      <c r="D17" t="s">
        <v>1190</v>
      </c>
      <c r="E17" t="s">
        <v>37</v>
      </c>
      <c r="F17">
        <v>42.713999999999899</v>
      </c>
      <c r="G17" t="s">
        <v>21</v>
      </c>
      <c r="H17">
        <v>0.84</v>
      </c>
      <c r="I17">
        <v>0</v>
      </c>
      <c r="J17">
        <v>0</v>
      </c>
      <c r="L17">
        <v>35.880000000000003</v>
      </c>
      <c r="M17">
        <v>0.84</v>
      </c>
      <c r="N17">
        <v>35.880000000000003</v>
      </c>
      <c r="O17" t="s">
        <v>456</v>
      </c>
      <c r="P17">
        <v>0</v>
      </c>
    </row>
    <row r="18" spans="1:16" s="6" customFormat="1" x14ac:dyDescent="0.25">
      <c r="A18" s="6" t="s">
        <v>77</v>
      </c>
      <c r="B18" s="6" t="s">
        <v>84</v>
      </c>
      <c r="C18" s="6" t="s">
        <v>1189</v>
      </c>
      <c r="D18" s="6" t="s">
        <v>1190</v>
      </c>
      <c r="E18" s="6" t="s">
        <v>30</v>
      </c>
      <c r="F18" s="6">
        <v>43.158000000000001</v>
      </c>
      <c r="G18" s="6" t="s">
        <v>21</v>
      </c>
      <c r="H18" s="6">
        <v>1.43</v>
      </c>
      <c r="I18" s="6">
        <v>0</v>
      </c>
      <c r="J18" s="6">
        <v>0.03</v>
      </c>
      <c r="K18" s="6">
        <v>1.29</v>
      </c>
      <c r="L18" s="6">
        <v>61.72</v>
      </c>
      <c r="M18" s="6">
        <v>1.52</v>
      </c>
      <c r="N18" s="6">
        <v>65.599999999999994</v>
      </c>
      <c r="O18" s="6" t="s">
        <v>812</v>
      </c>
      <c r="P18" s="6">
        <v>0</v>
      </c>
    </row>
    <row r="19" spans="1:16" x14ac:dyDescent="0.25">
      <c r="A19" t="s">
        <v>77</v>
      </c>
      <c r="B19" t="s">
        <v>84</v>
      </c>
      <c r="C19" t="s">
        <v>1189</v>
      </c>
      <c r="D19" t="s">
        <v>1190</v>
      </c>
      <c r="E19" t="s">
        <v>37</v>
      </c>
      <c r="F19">
        <v>52.963999999999899</v>
      </c>
      <c r="G19" t="s">
        <v>21</v>
      </c>
      <c r="H19">
        <v>0.84</v>
      </c>
      <c r="I19">
        <v>0</v>
      </c>
      <c r="J19">
        <v>0</v>
      </c>
      <c r="L19">
        <v>44.49</v>
      </c>
      <c r="M19">
        <v>0.84</v>
      </c>
      <c r="N19">
        <v>44.49</v>
      </c>
      <c r="O19" t="s">
        <v>812</v>
      </c>
      <c r="P19">
        <v>0</v>
      </c>
    </row>
    <row r="20" spans="1:16" s="6" customFormat="1" x14ac:dyDescent="0.25">
      <c r="A20" s="6" t="s">
        <v>77</v>
      </c>
      <c r="B20" s="6" t="s">
        <v>84</v>
      </c>
      <c r="C20" s="6" t="s">
        <v>1197</v>
      </c>
      <c r="D20" s="6" t="s">
        <v>1198</v>
      </c>
      <c r="E20" s="6" t="s">
        <v>20</v>
      </c>
      <c r="F20" s="6">
        <v>35.579000000000001</v>
      </c>
      <c r="G20" s="6" t="s">
        <v>21</v>
      </c>
      <c r="H20" s="6">
        <v>1.73</v>
      </c>
      <c r="I20" s="6">
        <v>0</v>
      </c>
      <c r="J20" s="6">
        <v>0.02</v>
      </c>
      <c r="K20" s="6">
        <v>0.71</v>
      </c>
      <c r="L20" s="6">
        <v>61.55</v>
      </c>
      <c r="M20" s="6">
        <v>1.83</v>
      </c>
      <c r="N20" s="6">
        <v>65.11</v>
      </c>
      <c r="O20" s="6" t="s">
        <v>1208</v>
      </c>
      <c r="P20" s="6">
        <v>0</v>
      </c>
    </row>
    <row r="21" spans="1:16" s="6" customFormat="1" x14ac:dyDescent="0.25">
      <c r="A21" s="6" t="s">
        <v>77</v>
      </c>
      <c r="B21" s="6" t="s">
        <v>1209</v>
      </c>
      <c r="C21" s="6" t="s">
        <v>1205</v>
      </c>
      <c r="D21" s="6" t="s">
        <v>1206</v>
      </c>
      <c r="E21" s="6" t="s">
        <v>20</v>
      </c>
      <c r="F21" s="6">
        <v>44.680999999999898</v>
      </c>
      <c r="G21" s="6" t="s">
        <v>21</v>
      </c>
      <c r="H21" s="6">
        <v>1.73</v>
      </c>
      <c r="I21" s="6">
        <v>0</v>
      </c>
      <c r="J21" s="6">
        <v>0.02</v>
      </c>
      <c r="K21" s="6">
        <v>0.89</v>
      </c>
      <c r="L21" s="6">
        <v>77.3</v>
      </c>
      <c r="M21" s="6">
        <v>1.82</v>
      </c>
      <c r="N21" s="6">
        <v>81.319999999999993</v>
      </c>
      <c r="O21" s="6" t="s">
        <v>1210</v>
      </c>
      <c r="P21" s="6">
        <v>0</v>
      </c>
    </row>
    <row r="22" spans="1:16" s="6" customFormat="1" x14ac:dyDescent="0.25">
      <c r="A22" s="6" t="s">
        <v>145</v>
      </c>
      <c r="B22" s="6" t="s">
        <v>84</v>
      </c>
      <c r="C22" s="6" t="s">
        <v>1191</v>
      </c>
      <c r="D22" s="6" t="s">
        <v>1192</v>
      </c>
      <c r="E22" s="6" t="s">
        <v>20</v>
      </c>
      <c r="F22" s="6">
        <v>43.720999999999897</v>
      </c>
      <c r="G22" s="6" t="s">
        <v>21</v>
      </c>
      <c r="H22" s="6">
        <v>1.72</v>
      </c>
      <c r="I22" s="6">
        <v>0</v>
      </c>
      <c r="J22" s="6">
        <v>0.02</v>
      </c>
      <c r="K22" s="6">
        <v>0.87</v>
      </c>
      <c r="L22" s="6">
        <v>75.2</v>
      </c>
      <c r="M22" s="6">
        <v>1.83</v>
      </c>
      <c r="N22" s="6">
        <v>80.010000000000005</v>
      </c>
      <c r="O22" s="6" t="s">
        <v>170</v>
      </c>
      <c r="P22" s="6">
        <v>205466</v>
      </c>
    </row>
    <row r="23" spans="1:16" x14ac:dyDescent="0.25">
      <c r="A23" t="s">
        <v>145</v>
      </c>
      <c r="B23" t="s">
        <v>84</v>
      </c>
      <c r="C23" t="s">
        <v>1189</v>
      </c>
      <c r="D23" t="s">
        <v>1190</v>
      </c>
      <c r="E23" t="s">
        <v>37</v>
      </c>
      <c r="F23">
        <v>34.917000000000002</v>
      </c>
      <c r="G23" t="s">
        <v>21</v>
      </c>
      <c r="H23">
        <v>0.84</v>
      </c>
      <c r="I23">
        <v>0</v>
      </c>
      <c r="J23">
        <v>0</v>
      </c>
      <c r="L23">
        <v>29.33</v>
      </c>
      <c r="M23">
        <v>0.84</v>
      </c>
      <c r="N23">
        <v>29.33</v>
      </c>
      <c r="O23" t="s">
        <v>239</v>
      </c>
      <c r="P23">
        <v>0</v>
      </c>
    </row>
    <row r="24" spans="1:16" x14ac:dyDescent="0.25">
      <c r="A24" t="s">
        <v>16</v>
      </c>
      <c r="B24" t="s">
        <v>173</v>
      </c>
      <c r="C24" t="s">
        <v>1187</v>
      </c>
      <c r="D24" t="s">
        <v>1188</v>
      </c>
      <c r="E24" t="s">
        <v>37</v>
      </c>
      <c r="F24">
        <v>38.578000000000003</v>
      </c>
      <c r="G24" t="s">
        <v>21</v>
      </c>
      <c r="H24">
        <v>0.83</v>
      </c>
      <c r="I24">
        <v>0</v>
      </c>
      <c r="J24">
        <v>0</v>
      </c>
      <c r="L24">
        <v>32.020000000000003</v>
      </c>
      <c r="M24">
        <v>0.83</v>
      </c>
      <c r="N24">
        <v>32.020000000000003</v>
      </c>
      <c r="O24" t="s">
        <v>1211</v>
      </c>
      <c r="P24">
        <v>0</v>
      </c>
    </row>
    <row r="25" spans="1:16" x14ac:dyDescent="0.25">
      <c r="A25" t="s">
        <v>86</v>
      </c>
      <c r="B25" t="s">
        <v>84</v>
      </c>
      <c r="C25" t="s">
        <v>1189</v>
      </c>
      <c r="D25" t="s">
        <v>1190</v>
      </c>
      <c r="E25" t="s">
        <v>37</v>
      </c>
      <c r="F25">
        <v>47.917000000000002</v>
      </c>
      <c r="G25" t="s">
        <v>21</v>
      </c>
      <c r="H25">
        <v>0.84</v>
      </c>
      <c r="I25">
        <v>0</v>
      </c>
      <c r="J25">
        <v>0</v>
      </c>
      <c r="L25">
        <v>40.25</v>
      </c>
      <c r="M25">
        <v>0.84</v>
      </c>
      <c r="N25">
        <v>40.25</v>
      </c>
      <c r="O25" t="s">
        <v>1212</v>
      </c>
      <c r="P25">
        <v>0</v>
      </c>
    </row>
    <row r="26" spans="1:16" x14ac:dyDescent="0.25">
      <c r="A26" t="s">
        <v>23</v>
      </c>
      <c r="B26" t="s">
        <v>84</v>
      </c>
      <c r="C26" t="s">
        <v>1189</v>
      </c>
      <c r="D26" t="s">
        <v>1190</v>
      </c>
      <c r="E26" t="s">
        <v>37</v>
      </c>
      <c r="F26">
        <v>38.2259999999999</v>
      </c>
      <c r="G26" t="s">
        <v>21</v>
      </c>
      <c r="H26">
        <v>0.84</v>
      </c>
      <c r="I26">
        <v>0</v>
      </c>
      <c r="J26">
        <v>0</v>
      </c>
      <c r="L26">
        <v>32.11</v>
      </c>
      <c r="M26">
        <v>0.84</v>
      </c>
      <c r="N26">
        <v>32.11</v>
      </c>
      <c r="O26" t="s">
        <v>1213</v>
      </c>
      <c r="P26">
        <v>0</v>
      </c>
    </row>
    <row r="27" spans="1:16" s="6" customFormat="1" x14ac:dyDescent="0.25">
      <c r="A27" s="6" t="s">
        <v>23</v>
      </c>
      <c r="B27" s="6" t="s">
        <v>84</v>
      </c>
      <c r="C27" s="6" t="s">
        <v>1197</v>
      </c>
      <c r="D27" s="6" t="s">
        <v>1198</v>
      </c>
      <c r="E27" s="6" t="s">
        <v>20</v>
      </c>
      <c r="F27" s="6">
        <v>36.131999999999898</v>
      </c>
      <c r="G27" s="6" t="s">
        <v>21</v>
      </c>
      <c r="H27" s="6">
        <v>1.67</v>
      </c>
      <c r="I27" s="6">
        <v>0</v>
      </c>
      <c r="J27" s="6">
        <v>0.02</v>
      </c>
      <c r="K27" s="6">
        <v>0.72</v>
      </c>
      <c r="L27" s="6">
        <v>60.34</v>
      </c>
      <c r="M27" s="6">
        <v>1.82</v>
      </c>
      <c r="N27" s="6">
        <v>65.760000000000005</v>
      </c>
      <c r="O27" s="6" t="s">
        <v>1214</v>
      </c>
      <c r="P27" s="6">
        <v>0</v>
      </c>
    </row>
    <row r="30" spans="1:16" x14ac:dyDescent="0.25">
      <c r="E30" s="6" t="s">
        <v>30</v>
      </c>
      <c r="F30">
        <v>82.158000000000001</v>
      </c>
    </row>
    <row r="31" spans="1:16" x14ac:dyDescent="0.25">
      <c r="E31" s="6" t="s">
        <v>20</v>
      </c>
      <c r="F31">
        <v>351.48700000000002</v>
      </c>
    </row>
    <row r="32" spans="1:16" x14ac:dyDescent="0.25">
      <c r="E32" t="s">
        <v>37</v>
      </c>
      <c r="F32">
        <v>636.70899999999995</v>
      </c>
    </row>
  </sheetData>
  <autoFilter ref="A1:P27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P47"/>
  <sheetViews>
    <sheetView workbookViewId="0">
      <selection activeCell="K27" sqref="K27"/>
    </sheetView>
  </sheetViews>
  <sheetFormatPr defaultRowHeight="15" x14ac:dyDescent="0.25"/>
  <cols>
    <col min="1" max="1" width="10.42578125" bestFit="1" customWidth="1"/>
    <col min="2" max="2" width="25.7109375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70</v>
      </c>
      <c r="B2" s="6" t="s">
        <v>17</v>
      </c>
      <c r="C2" s="6" t="s">
        <v>1241</v>
      </c>
      <c r="D2" s="6" t="s">
        <v>1242</v>
      </c>
      <c r="E2" s="6" t="s">
        <v>20</v>
      </c>
      <c r="F2" s="6">
        <v>250</v>
      </c>
      <c r="G2" s="6" t="s">
        <v>21</v>
      </c>
      <c r="H2" s="6">
        <v>1.76</v>
      </c>
      <c r="I2" s="6">
        <v>0</v>
      </c>
      <c r="J2" s="6">
        <v>0.02</v>
      </c>
      <c r="K2" s="6">
        <v>5</v>
      </c>
      <c r="L2" s="6">
        <v>440</v>
      </c>
      <c r="M2" s="6">
        <v>1.81</v>
      </c>
      <c r="N2" s="6">
        <v>452.5</v>
      </c>
      <c r="O2" s="6" t="s">
        <v>1248</v>
      </c>
      <c r="P2" s="6">
        <v>0</v>
      </c>
    </row>
    <row r="3" spans="1:16" s="6" customFormat="1" x14ac:dyDescent="0.25">
      <c r="A3" s="6" t="s">
        <v>70</v>
      </c>
      <c r="B3" s="6" t="s">
        <v>17</v>
      </c>
      <c r="C3" s="6" t="s">
        <v>1241</v>
      </c>
      <c r="D3" s="6" t="s">
        <v>1242</v>
      </c>
      <c r="E3" s="6" t="s">
        <v>20</v>
      </c>
      <c r="F3" s="6">
        <v>50.021999999999899</v>
      </c>
      <c r="G3" s="6" t="s">
        <v>21</v>
      </c>
      <c r="H3" s="6">
        <v>1.76</v>
      </c>
      <c r="I3" s="6">
        <v>0</v>
      </c>
      <c r="J3" s="6">
        <v>0.02</v>
      </c>
      <c r="K3" s="6">
        <v>1</v>
      </c>
      <c r="L3" s="6">
        <v>88.04</v>
      </c>
      <c r="M3" s="6">
        <v>1.81</v>
      </c>
      <c r="N3" s="6">
        <v>90.54</v>
      </c>
      <c r="O3" s="6" t="s">
        <v>1249</v>
      </c>
      <c r="P3" s="6">
        <v>0</v>
      </c>
    </row>
    <row r="4" spans="1:16" s="6" customFormat="1" x14ac:dyDescent="0.25">
      <c r="A4" s="6" t="s">
        <v>70</v>
      </c>
      <c r="B4" s="6" t="s">
        <v>17</v>
      </c>
      <c r="C4" s="6" t="s">
        <v>1241</v>
      </c>
      <c r="D4" s="6" t="s">
        <v>1242</v>
      </c>
      <c r="E4" s="6" t="s">
        <v>20</v>
      </c>
      <c r="F4" s="6">
        <v>250.021999999999</v>
      </c>
      <c r="G4" s="6" t="s">
        <v>21</v>
      </c>
      <c r="H4" s="6">
        <v>1.76</v>
      </c>
      <c r="I4" s="6">
        <v>0</v>
      </c>
      <c r="J4" s="6">
        <v>0.02</v>
      </c>
      <c r="K4" s="6">
        <v>5</v>
      </c>
      <c r="L4" s="6">
        <v>440.04</v>
      </c>
      <c r="M4" s="6">
        <v>1.81</v>
      </c>
      <c r="N4" s="6">
        <v>452.54</v>
      </c>
      <c r="O4" s="6" t="s">
        <v>71</v>
      </c>
      <c r="P4" s="6">
        <v>0</v>
      </c>
    </row>
    <row r="5" spans="1:16" s="6" customFormat="1" x14ac:dyDescent="0.25">
      <c r="A5" s="6" t="s">
        <v>70</v>
      </c>
      <c r="B5" s="6" t="s">
        <v>130</v>
      </c>
      <c r="C5" s="6" t="s">
        <v>1241</v>
      </c>
      <c r="D5" s="6" t="s">
        <v>1242</v>
      </c>
      <c r="E5" s="6" t="s">
        <v>20</v>
      </c>
      <c r="F5" s="6">
        <v>30</v>
      </c>
      <c r="G5" s="6" t="s">
        <v>21</v>
      </c>
      <c r="H5" s="6">
        <v>1.76</v>
      </c>
      <c r="I5" s="6">
        <v>0</v>
      </c>
      <c r="J5" s="6">
        <v>0.02</v>
      </c>
      <c r="K5" s="6">
        <v>0.6</v>
      </c>
      <c r="L5" s="6">
        <v>52.8</v>
      </c>
      <c r="M5" s="6">
        <v>1.81</v>
      </c>
      <c r="N5" s="6">
        <v>54.3</v>
      </c>
      <c r="O5" s="6" t="s">
        <v>414</v>
      </c>
      <c r="P5" s="6">
        <v>0</v>
      </c>
    </row>
    <row r="6" spans="1:16" s="6" customFormat="1" x14ac:dyDescent="0.25">
      <c r="A6" s="6" t="s">
        <v>70</v>
      </c>
      <c r="B6" s="6" t="s">
        <v>130</v>
      </c>
      <c r="C6" s="6" t="s">
        <v>1241</v>
      </c>
      <c r="D6" s="6" t="s">
        <v>1242</v>
      </c>
      <c r="E6" s="6" t="s">
        <v>20</v>
      </c>
      <c r="F6" s="6">
        <v>40</v>
      </c>
      <c r="G6" s="6" t="s">
        <v>21</v>
      </c>
      <c r="H6" s="6">
        <v>1.76</v>
      </c>
      <c r="I6" s="6">
        <v>0</v>
      </c>
      <c r="J6" s="6">
        <v>0.02</v>
      </c>
      <c r="K6" s="6">
        <v>0.8</v>
      </c>
      <c r="L6" s="6">
        <v>70.400000000000006</v>
      </c>
      <c r="M6" s="6">
        <v>1.81</v>
      </c>
      <c r="N6" s="6">
        <v>72.400000000000006</v>
      </c>
      <c r="O6" s="6" t="s">
        <v>109</v>
      </c>
      <c r="P6" s="6">
        <v>0</v>
      </c>
    </row>
    <row r="7" spans="1:16" s="6" customFormat="1" x14ac:dyDescent="0.25">
      <c r="A7" s="6" t="s">
        <v>141</v>
      </c>
      <c r="B7" s="6" t="s">
        <v>32</v>
      </c>
      <c r="C7" s="6" t="s">
        <v>1235</v>
      </c>
      <c r="D7" s="6" t="s">
        <v>1236</v>
      </c>
      <c r="E7" s="6" t="s">
        <v>20</v>
      </c>
      <c r="F7" s="6">
        <v>187</v>
      </c>
      <c r="G7" s="6" t="s">
        <v>21</v>
      </c>
      <c r="H7" s="6">
        <v>1.75</v>
      </c>
      <c r="I7" s="6">
        <v>0</v>
      </c>
      <c r="J7" s="6">
        <v>0.02</v>
      </c>
      <c r="K7" s="6">
        <v>3.74</v>
      </c>
      <c r="L7" s="6">
        <v>327.25</v>
      </c>
      <c r="M7" s="6">
        <v>1.81</v>
      </c>
      <c r="N7" s="6">
        <v>338.47</v>
      </c>
      <c r="O7" s="6" t="s">
        <v>1250</v>
      </c>
      <c r="P7" s="6">
        <v>0</v>
      </c>
    </row>
    <row r="8" spans="1:16" s="6" customFormat="1" x14ac:dyDescent="0.25">
      <c r="A8" s="6" t="s">
        <v>141</v>
      </c>
      <c r="B8" s="6" t="s">
        <v>496</v>
      </c>
      <c r="C8" s="6" t="s">
        <v>1239</v>
      </c>
      <c r="D8" s="6" t="s">
        <v>1240</v>
      </c>
      <c r="E8" s="6" t="s">
        <v>20</v>
      </c>
      <c r="F8" s="6">
        <v>58.011000000000003</v>
      </c>
      <c r="G8" s="6" t="s">
        <v>21</v>
      </c>
      <c r="H8" s="6">
        <v>1.75</v>
      </c>
      <c r="I8" s="6">
        <v>0</v>
      </c>
      <c r="J8" s="6">
        <v>0.02</v>
      </c>
      <c r="K8" s="6">
        <v>1.1599999999999999</v>
      </c>
      <c r="L8" s="6">
        <v>101.52</v>
      </c>
      <c r="M8" s="6">
        <v>1.81</v>
      </c>
      <c r="N8" s="6">
        <v>105</v>
      </c>
      <c r="O8" s="6" t="s">
        <v>1251</v>
      </c>
      <c r="P8" s="6">
        <v>495385</v>
      </c>
    </row>
    <row r="9" spans="1:16" s="6" customFormat="1" x14ac:dyDescent="0.25">
      <c r="A9" s="6" t="s">
        <v>141</v>
      </c>
      <c r="B9" s="6" t="s">
        <v>496</v>
      </c>
      <c r="C9" s="6" t="s">
        <v>1215</v>
      </c>
      <c r="D9" s="6" t="s">
        <v>1216</v>
      </c>
      <c r="E9" s="6" t="s">
        <v>30</v>
      </c>
      <c r="F9" s="6">
        <v>51.609000000000002</v>
      </c>
      <c r="G9" s="6" t="s">
        <v>21</v>
      </c>
      <c r="H9" s="6">
        <v>1.43</v>
      </c>
      <c r="I9" s="6">
        <v>0</v>
      </c>
      <c r="J9" s="6">
        <v>0.03</v>
      </c>
      <c r="K9" s="6">
        <v>1.55</v>
      </c>
      <c r="L9" s="6">
        <v>73.8</v>
      </c>
      <c r="M9" s="6">
        <v>1.51</v>
      </c>
      <c r="N9" s="6">
        <v>77.930000000000007</v>
      </c>
      <c r="O9" s="6" t="s">
        <v>1252</v>
      </c>
      <c r="P9" s="6">
        <v>0</v>
      </c>
    </row>
    <row r="10" spans="1:16" s="6" customFormat="1" x14ac:dyDescent="0.25">
      <c r="A10" s="6" t="s">
        <v>141</v>
      </c>
      <c r="B10" s="6" t="s">
        <v>130</v>
      </c>
      <c r="C10" s="6" t="s">
        <v>1237</v>
      </c>
      <c r="D10" s="6" t="s">
        <v>1238</v>
      </c>
      <c r="E10" s="6" t="s">
        <v>20</v>
      </c>
      <c r="F10" s="6">
        <v>202.072</v>
      </c>
      <c r="G10" s="6" t="s">
        <v>21</v>
      </c>
      <c r="H10" s="6">
        <v>1.75</v>
      </c>
      <c r="I10" s="6">
        <v>0</v>
      </c>
      <c r="J10" s="6">
        <v>0.02</v>
      </c>
      <c r="K10" s="6">
        <v>4.04</v>
      </c>
      <c r="L10" s="6">
        <v>353.63</v>
      </c>
      <c r="M10" s="6">
        <v>1.81</v>
      </c>
      <c r="N10" s="6">
        <v>365.75</v>
      </c>
      <c r="O10" s="6" t="s">
        <v>805</v>
      </c>
      <c r="P10" s="6">
        <v>172695</v>
      </c>
    </row>
    <row r="11" spans="1:16" s="6" customFormat="1" x14ac:dyDescent="0.25">
      <c r="A11" s="6" t="s">
        <v>141</v>
      </c>
      <c r="B11" s="6" t="s">
        <v>1222</v>
      </c>
      <c r="C11" s="6" t="s">
        <v>1223</v>
      </c>
      <c r="D11" s="6" t="s">
        <v>1224</v>
      </c>
      <c r="E11" s="6" t="s">
        <v>30</v>
      </c>
      <c r="F11" s="6">
        <v>37.901000000000003</v>
      </c>
      <c r="G11" s="6" t="s">
        <v>21</v>
      </c>
      <c r="H11" s="6">
        <v>1.43</v>
      </c>
      <c r="I11" s="6">
        <v>0</v>
      </c>
      <c r="J11" s="6">
        <v>0.03</v>
      </c>
      <c r="K11" s="6">
        <v>1.1399999999999999</v>
      </c>
      <c r="L11" s="6">
        <v>54.2</v>
      </c>
      <c r="M11" s="6">
        <v>1.51</v>
      </c>
      <c r="N11" s="6">
        <v>57.23</v>
      </c>
      <c r="O11" s="6" t="s">
        <v>1135</v>
      </c>
      <c r="P11" s="6">
        <v>0</v>
      </c>
    </row>
    <row r="12" spans="1:16" s="6" customFormat="1" x14ac:dyDescent="0.25">
      <c r="A12" s="6" t="s">
        <v>449</v>
      </c>
      <c r="B12" s="6" t="s">
        <v>17</v>
      </c>
      <c r="C12" s="6" t="s">
        <v>1219</v>
      </c>
      <c r="D12" s="6" t="s">
        <v>1220</v>
      </c>
      <c r="E12" s="6" t="s">
        <v>20</v>
      </c>
      <c r="F12" s="6">
        <v>35.829999999999899</v>
      </c>
      <c r="G12" s="6" t="s">
        <v>21</v>
      </c>
      <c r="H12" s="6">
        <v>1.75</v>
      </c>
      <c r="I12" s="6">
        <v>0</v>
      </c>
      <c r="J12" s="6">
        <v>0.02</v>
      </c>
      <c r="K12" s="6">
        <v>0.72</v>
      </c>
      <c r="L12" s="6">
        <v>62.7</v>
      </c>
      <c r="M12" s="6">
        <v>1.82</v>
      </c>
      <c r="N12" s="6">
        <v>65.209999999999994</v>
      </c>
      <c r="O12" s="6" t="s">
        <v>142</v>
      </c>
      <c r="P12" s="6">
        <v>0</v>
      </c>
    </row>
    <row r="13" spans="1:16" s="6" customFormat="1" x14ac:dyDescent="0.25">
      <c r="A13" s="6" t="s">
        <v>163</v>
      </c>
      <c r="B13" s="6" t="s">
        <v>217</v>
      </c>
      <c r="C13" s="6" t="s">
        <v>1219</v>
      </c>
      <c r="D13" s="6" t="s">
        <v>1220</v>
      </c>
      <c r="E13" s="6" t="s">
        <v>20</v>
      </c>
      <c r="F13" s="6">
        <v>81.242000000000004</v>
      </c>
      <c r="G13" s="6" t="s">
        <v>21</v>
      </c>
      <c r="H13" s="6">
        <v>1.75</v>
      </c>
      <c r="I13" s="6">
        <v>0</v>
      </c>
      <c r="J13" s="6">
        <v>0.02</v>
      </c>
      <c r="K13" s="6">
        <v>1.62</v>
      </c>
      <c r="L13" s="6">
        <v>142.16999999999999</v>
      </c>
      <c r="M13" s="6">
        <v>1.82</v>
      </c>
      <c r="N13" s="6">
        <v>147.86000000000001</v>
      </c>
      <c r="O13" s="6" t="s">
        <v>1253</v>
      </c>
      <c r="P13" s="6">
        <v>0</v>
      </c>
    </row>
    <row r="14" spans="1:16" s="6" customFormat="1" x14ac:dyDescent="0.25">
      <c r="A14" s="6" t="s">
        <v>72</v>
      </c>
      <c r="B14" s="6" t="s">
        <v>17</v>
      </c>
      <c r="C14" s="6" t="s">
        <v>1231</v>
      </c>
      <c r="D14" s="6" t="s">
        <v>1232</v>
      </c>
      <c r="E14" s="6" t="s">
        <v>20</v>
      </c>
      <c r="F14" s="6">
        <v>185</v>
      </c>
      <c r="G14" s="6" t="s">
        <v>21</v>
      </c>
      <c r="H14" s="6">
        <v>1.73</v>
      </c>
      <c r="I14" s="6">
        <v>0</v>
      </c>
      <c r="J14" s="6">
        <v>0.02</v>
      </c>
      <c r="K14" s="6">
        <v>3.7</v>
      </c>
      <c r="L14" s="6">
        <v>320.05</v>
      </c>
      <c r="M14" s="6">
        <v>1.82</v>
      </c>
      <c r="N14" s="6">
        <v>336.7</v>
      </c>
      <c r="O14" s="6" t="s">
        <v>1254</v>
      </c>
      <c r="P14" s="6">
        <v>230501</v>
      </c>
    </row>
    <row r="15" spans="1:16" s="6" customFormat="1" x14ac:dyDescent="0.25">
      <c r="A15" s="6" t="s">
        <v>72</v>
      </c>
      <c r="B15" s="6" t="s">
        <v>17</v>
      </c>
      <c r="C15" s="6" t="s">
        <v>1233</v>
      </c>
      <c r="D15" s="6" t="s">
        <v>1234</v>
      </c>
      <c r="E15" s="6" t="s">
        <v>20</v>
      </c>
      <c r="F15" s="6">
        <v>337</v>
      </c>
      <c r="G15" s="6" t="s">
        <v>21</v>
      </c>
      <c r="H15" s="6">
        <v>1.73</v>
      </c>
      <c r="I15" s="6">
        <v>0</v>
      </c>
      <c r="J15" s="6">
        <v>0.02</v>
      </c>
      <c r="K15" s="6">
        <v>6.74</v>
      </c>
      <c r="L15" s="6">
        <v>583.01</v>
      </c>
      <c r="M15" s="6">
        <v>1.82</v>
      </c>
      <c r="N15" s="6">
        <v>613.34</v>
      </c>
      <c r="O15" s="6" t="s">
        <v>1255</v>
      </c>
      <c r="P15" s="6">
        <v>0</v>
      </c>
    </row>
    <row r="16" spans="1:16" s="6" customFormat="1" x14ac:dyDescent="0.25">
      <c r="A16" s="6" t="s">
        <v>72</v>
      </c>
      <c r="B16" s="6" t="s">
        <v>103</v>
      </c>
      <c r="C16" s="6" t="s">
        <v>1227</v>
      </c>
      <c r="D16" s="6" t="s">
        <v>1228</v>
      </c>
      <c r="E16" s="6" t="s">
        <v>20</v>
      </c>
      <c r="F16" s="6">
        <v>203</v>
      </c>
      <c r="G16" s="6" t="s">
        <v>21</v>
      </c>
      <c r="H16" s="6">
        <v>1.73</v>
      </c>
      <c r="I16" s="6">
        <v>0</v>
      </c>
      <c r="J16" s="6">
        <v>0.02</v>
      </c>
      <c r="K16" s="6">
        <v>4.0599999999999996</v>
      </c>
      <c r="L16" s="6">
        <v>351.19</v>
      </c>
      <c r="M16" s="6">
        <v>1.82</v>
      </c>
      <c r="N16" s="6">
        <v>369.46</v>
      </c>
      <c r="O16" s="6" t="s">
        <v>1256</v>
      </c>
      <c r="P16" s="6">
        <v>0</v>
      </c>
    </row>
    <row r="17" spans="1:16" s="6" customFormat="1" x14ac:dyDescent="0.25">
      <c r="A17" s="6" t="s">
        <v>72</v>
      </c>
      <c r="B17" s="6" t="s">
        <v>103</v>
      </c>
      <c r="C17" s="6" t="s">
        <v>1229</v>
      </c>
      <c r="D17" s="6" t="s">
        <v>1230</v>
      </c>
      <c r="E17" s="6" t="s">
        <v>20</v>
      </c>
      <c r="F17" s="6">
        <v>196</v>
      </c>
      <c r="G17" s="6" t="s">
        <v>21</v>
      </c>
      <c r="H17" s="6">
        <v>1.73</v>
      </c>
      <c r="I17" s="6">
        <v>0</v>
      </c>
      <c r="J17" s="6">
        <v>0.02</v>
      </c>
      <c r="K17" s="6">
        <v>3.92</v>
      </c>
      <c r="L17" s="6">
        <v>339.08</v>
      </c>
      <c r="M17" s="6">
        <v>1.82</v>
      </c>
      <c r="N17" s="6">
        <v>356.72</v>
      </c>
      <c r="O17" s="6" t="s">
        <v>1257</v>
      </c>
      <c r="P17" s="6">
        <v>189445</v>
      </c>
    </row>
    <row r="18" spans="1:16" s="6" customFormat="1" x14ac:dyDescent="0.25">
      <c r="A18" s="6" t="s">
        <v>77</v>
      </c>
      <c r="B18" s="6" t="s">
        <v>17</v>
      </c>
      <c r="C18" s="6" t="s">
        <v>1241</v>
      </c>
      <c r="D18" s="6" t="s">
        <v>1242</v>
      </c>
      <c r="E18" s="6" t="s">
        <v>20</v>
      </c>
      <c r="F18" s="6">
        <v>250</v>
      </c>
      <c r="G18" s="6" t="s">
        <v>21</v>
      </c>
      <c r="H18" s="6">
        <v>1.73</v>
      </c>
      <c r="I18" s="6">
        <v>0</v>
      </c>
      <c r="J18" s="6">
        <v>0.02</v>
      </c>
      <c r="K18" s="6">
        <v>5</v>
      </c>
      <c r="L18" s="6">
        <v>432.5</v>
      </c>
      <c r="M18" s="6">
        <v>1.82</v>
      </c>
      <c r="N18" s="6">
        <v>455</v>
      </c>
      <c r="O18" s="6" t="s">
        <v>947</v>
      </c>
      <c r="P18" s="6">
        <v>0</v>
      </c>
    </row>
    <row r="19" spans="1:16" s="6" customFormat="1" x14ac:dyDescent="0.25">
      <c r="A19" s="6" t="s">
        <v>77</v>
      </c>
      <c r="B19" s="6" t="s">
        <v>17</v>
      </c>
      <c r="C19" s="6" t="s">
        <v>1237</v>
      </c>
      <c r="D19" s="6" t="s">
        <v>1238</v>
      </c>
      <c r="E19" s="6" t="s">
        <v>20</v>
      </c>
      <c r="F19" s="6">
        <v>211.91200000000001</v>
      </c>
      <c r="G19" s="6" t="s">
        <v>21</v>
      </c>
      <c r="H19" s="6">
        <v>1.73</v>
      </c>
      <c r="I19" s="6">
        <v>0</v>
      </c>
      <c r="J19" s="6">
        <v>0.02</v>
      </c>
      <c r="K19" s="6">
        <v>4.24</v>
      </c>
      <c r="L19" s="6">
        <v>366.61</v>
      </c>
      <c r="M19" s="6">
        <v>1.82</v>
      </c>
      <c r="N19" s="6">
        <v>385.68</v>
      </c>
      <c r="O19" s="6" t="s">
        <v>149</v>
      </c>
      <c r="P19" s="6">
        <v>173106</v>
      </c>
    </row>
    <row r="20" spans="1:16" s="6" customFormat="1" x14ac:dyDescent="0.25">
      <c r="A20" s="6" t="s">
        <v>77</v>
      </c>
      <c r="B20" s="6" t="s">
        <v>32</v>
      </c>
      <c r="C20" s="6" t="s">
        <v>1235</v>
      </c>
      <c r="D20" s="6" t="s">
        <v>1236</v>
      </c>
      <c r="E20" s="6" t="s">
        <v>20</v>
      </c>
      <c r="F20" s="6">
        <v>210</v>
      </c>
      <c r="G20" s="6" t="s">
        <v>21</v>
      </c>
      <c r="H20" s="6">
        <v>1.73</v>
      </c>
      <c r="I20" s="6">
        <v>0</v>
      </c>
      <c r="J20" s="6">
        <v>0.02</v>
      </c>
      <c r="K20" s="6">
        <v>4.2</v>
      </c>
      <c r="L20" s="6">
        <v>363.3</v>
      </c>
      <c r="M20" s="6">
        <v>1.82</v>
      </c>
      <c r="N20" s="6">
        <v>382.2</v>
      </c>
      <c r="O20" s="6" t="s">
        <v>1221</v>
      </c>
      <c r="P20" s="6">
        <v>0</v>
      </c>
    </row>
    <row r="21" spans="1:16" s="6" customFormat="1" x14ac:dyDescent="0.25">
      <c r="A21" s="6" t="s">
        <v>243</v>
      </c>
      <c r="B21" s="6" t="s">
        <v>24</v>
      </c>
      <c r="C21" s="6" t="s">
        <v>1225</v>
      </c>
      <c r="D21" s="6" t="s">
        <v>1226</v>
      </c>
      <c r="E21" s="6" t="s">
        <v>20</v>
      </c>
      <c r="F21" s="6">
        <v>58.219999999999899</v>
      </c>
      <c r="G21" s="6" t="s">
        <v>21</v>
      </c>
      <c r="H21" s="6">
        <v>1.72</v>
      </c>
      <c r="I21" s="6">
        <v>0</v>
      </c>
      <c r="J21" s="6">
        <v>0.02</v>
      </c>
      <c r="K21" s="6">
        <v>1.1599999999999999</v>
      </c>
      <c r="L21" s="6">
        <v>100.14</v>
      </c>
      <c r="M21" s="6">
        <v>1.82</v>
      </c>
      <c r="N21" s="6">
        <v>105.96</v>
      </c>
      <c r="O21" s="6" t="s">
        <v>1258</v>
      </c>
      <c r="P21" s="6">
        <v>0</v>
      </c>
    </row>
    <row r="22" spans="1:16" s="6" customFormat="1" x14ac:dyDescent="0.25">
      <c r="A22" s="6" t="s">
        <v>243</v>
      </c>
      <c r="B22" s="6" t="s">
        <v>1222</v>
      </c>
      <c r="C22" s="6" t="s">
        <v>1223</v>
      </c>
      <c r="D22" s="6" t="s">
        <v>1224</v>
      </c>
      <c r="E22" s="6" t="s">
        <v>30</v>
      </c>
      <c r="F22" s="6">
        <v>42.987000000000002</v>
      </c>
      <c r="G22" s="6" t="s">
        <v>21</v>
      </c>
      <c r="H22" s="6">
        <v>1.43</v>
      </c>
      <c r="I22" s="6">
        <v>0</v>
      </c>
      <c r="J22" s="6">
        <v>0.03</v>
      </c>
      <c r="K22" s="6">
        <v>1.29</v>
      </c>
      <c r="L22" s="6">
        <v>61.47</v>
      </c>
      <c r="M22" s="6">
        <v>1.51</v>
      </c>
      <c r="N22" s="6">
        <v>64.91</v>
      </c>
      <c r="O22" s="6" t="s">
        <v>1177</v>
      </c>
      <c r="P22" s="6">
        <v>0</v>
      </c>
    </row>
    <row r="23" spans="1:16" s="6" customFormat="1" x14ac:dyDescent="0.25">
      <c r="A23" s="6" t="s">
        <v>145</v>
      </c>
      <c r="B23" s="6" t="s">
        <v>17</v>
      </c>
      <c r="C23" s="6" t="s">
        <v>1217</v>
      </c>
      <c r="D23" s="6" t="s">
        <v>1218</v>
      </c>
      <c r="E23" s="6" t="s">
        <v>20</v>
      </c>
      <c r="F23" s="6">
        <v>36.731000000000002</v>
      </c>
      <c r="G23" s="6" t="s">
        <v>21</v>
      </c>
      <c r="H23" s="6">
        <v>1.72</v>
      </c>
      <c r="I23" s="6">
        <v>0</v>
      </c>
      <c r="J23" s="6">
        <v>0.02</v>
      </c>
      <c r="K23" s="6">
        <v>0.73</v>
      </c>
      <c r="L23" s="6">
        <v>63.18</v>
      </c>
      <c r="M23" s="6">
        <v>1.82</v>
      </c>
      <c r="N23" s="6">
        <v>66.849999999999994</v>
      </c>
      <c r="O23" s="6" t="s">
        <v>757</v>
      </c>
      <c r="P23" s="6">
        <v>0</v>
      </c>
    </row>
    <row r="24" spans="1:16" s="6" customFormat="1" x14ac:dyDescent="0.25">
      <c r="A24" s="6" t="s">
        <v>145</v>
      </c>
      <c r="B24" s="6" t="s">
        <v>17</v>
      </c>
      <c r="C24" s="6" t="s">
        <v>1229</v>
      </c>
      <c r="D24" s="6" t="s">
        <v>1230</v>
      </c>
      <c r="E24" s="6" t="s">
        <v>20</v>
      </c>
      <c r="F24" s="6">
        <v>230</v>
      </c>
      <c r="G24" s="6" t="s">
        <v>21</v>
      </c>
      <c r="H24" s="6">
        <v>1.72</v>
      </c>
      <c r="I24" s="6">
        <v>0</v>
      </c>
      <c r="J24" s="6">
        <v>0.02</v>
      </c>
      <c r="K24" s="6">
        <v>4.5999999999999996</v>
      </c>
      <c r="L24" s="6">
        <v>395.6</v>
      </c>
      <c r="M24" s="6">
        <v>1.82</v>
      </c>
      <c r="N24" s="6">
        <v>418.6</v>
      </c>
      <c r="O24" s="6" t="s">
        <v>1126</v>
      </c>
      <c r="P24" s="6">
        <v>0</v>
      </c>
    </row>
    <row r="25" spans="1:16" s="6" customFormat="1" x14ac:dyDescent="0.25">
      <c r="A25" s="6" t="s">
        <v>145</v>
      </c>
      <c r="B25" s="6" t="s">
        <v>17</v>
      </c>
      <c r="C25" s="6" t="s">
        <v>1227</v>
      </c>
      <c r="D25" s="6" t="s">
        <v>1228</v>
      </c>
      <c r="E25" s="6" t="s">
        <v>20</v>
      </c>
      <c r="F25" s="6">
        <v>264.01100000000002</v>
      </c>
      <c r="G25" s="6" t="s">
        <v>21</v>
      </c>
      <c r="H25" s="6">
        <v>1.72</v>
      </c>
      <c r="I25" s="6">
        <v>0</v>
      </c>
      <c r="J25" s="6">
        <v>0.02</v>
      </c>
      <c r="K25" s="6">
        <v>5.28</v>
      </c>
      <c r="L25" s="6">
        <v>454.1</v>
      </c>
      <c r="M25" s="6">
        <v>1.82</v>
      </c>
      <c r="N25" s="6">
        <v>480.5</v>
      </c>
      <c r="O25" s="6" t="s">
        <v>1259</v>
      </c>
      <c r="P25" s="6">
        <v>0</v>
      </c>
    </row>
    <row r="26" spans="1:16" s="6" customFormat="1" x14ac:dyDescent="0.25">
      <c r="A26" s="6" t="s">
        <v>82</v>
      </c>
      <c r="B26" s="6" t="s">
        <v>17</v>
      </c>
      <c r="C26" s="6" t="s">
        <v>1237</v>
      </c>
      <c r="D26" s="6" t="s">
        <v>1238</v>
      </c>
      <c r="E26" s="6" t="s">
        <v>20</v>
      </c>
      <c r="F26" s="6">
        <v>185.91200000000001</v>
      </c>
      <c r="G26" s="6" t="s">
        <v>21</v>
      </c>
      <c r="H26" s="6">
        <v>1.7</v>
      </c>
      <c r="I26" s="6">
        <v>0</v>
      </c>
      <c r="J26" s="6">
        <v>0.02</v>
      </c>
      <c r="K26" s="6">
        <v>3.72</v>
      </c>
      <c r="L26" s="6">
        <v>316.05</v>
      </c>
      <c r="M26" s="6">
        <v>1.82</v>
      </c>
      <c r="N26" s="6">
        <v>338.36</v>
      </c>
      <c r="O26" s="6" t="s">
        <v>613</v>
      </c>
      <c r="P26" s="6">
        <v>173423</v>
      </c>
    </row>
    <row r="27" spans="1:16" s="6" customFormat="1" x14ac:dyDescent="0.25">
      <c r="A27" s="6" t="s">
        <v>82</v>
      </c>
      <c r="B27" s="6" t="s">
        <v>17</v>
      </c>
      <c r="C27" s="6" t="s">
        <v>1241</v>
      </c>
      <c r="D27" s="6" t="s">
        <v>1242</v>
      </c>
      <c r="E27" s="6" t="s">
        <v>20</v>
      </c>
      <c r="F27" s="6">
        <v>300</v>
      </c>
      <c r="G27" s="6" t="s">
        <v>21</v>
      </c>
      <c r="H27" s="6">
        <v>1.7</v>
      </c>
      <c r="I27" s="6">
        <v>0</v>
      </c>
      <c r="J27" s="6">
        <v>0.02</v>
      </c>
      <c r="K27" s="6">
        <v>6</v>
      </c>
      <c r="L27" s="6">
        <v>510</v>
      </c>
      <c r="M27" s="6">
        <v>1.82</v>
      </c>
      <c r="N27" s="6">
        <v>546</v>
      </c>
      <c r="O27" s="6" t="s">
        <v>347</v>
      </c>
      <c r="P27" s="6">
        <v>0</v>
      </c>
    </row>
    <row r="28" spans="1:16" s="6" customFormat="1" x14ac:dyDescent="0.25">
      <c r="A28" s="6" t="s">
        <v>82</v>
      </c>
      <c r="B28" s="6" t="s">
        <v>17</v>
      </c>
      <c r="C28" s="6" t="s">
        <v>1241</v>
      </c>
      <c r="D28" s="6" t="s">
        <v>1242</v>
      </c>
      <c r="E28" s="6" t="s">
        <v>20</v>
      </c>
      <c r="F28" s="6">
        <v>250</v>
      </c>
      <c r="G28" s="6" t="s">
        <v>21</v>
      </c>
      <c r="H28" s="6">
        <v>1.7</v>
      </c>
      <c r="I28" s="6">
        <v>0</v>
      </c>
      <c r="J28" s="6">
        <v>0.02</v>
      </c>
      <c r="K28" s="6">
        <v>5</v>
      </c>
      <c r="L28" s="6">
        <v>425</v>
      </c>
      <c r="M28" s="6">
        <v>1.82</v>
      </c>
      <c r="N28" s="6">
        <v>455</v>
      </c>
      <c r="O28" s="6" t="s">
        <v>1260</v>
      </c>
      <c r="P28" s="6">
        <v>0</v>
      </c>
    </row>
    <row r="29" spans="1:16" s="6" customFormat="1" x14ac:dyDescent="0.25">
      <c r="A29" s="6" t="s">
        <v>82</v>
      </c>
      <c r="B29" s="6" t="s">
        <v>17</v>
      </c>
      <c r="C29" s="6" t="s">
        <v>1231</v>
      </c>
      <c r="D29" s="6" t="s">
        <v>1232</v>
      </c>
      <c r="E29" s="6" t="s">
        <v>20</v>
      </c>
      <c r="F29" s="6">
        <v>190</v>
      </c>
      <c r="G29" s="6" t="s">
        <v>21</v>
      </c>
      <c r="H29" s="6">
        <v>1.7</v>
      </c>
      <c r="I29" s="6">
        <v>0</v>
      </c>
      <c r="J29" s="6">
        <v>0.02</v>
      </c>
      <c r="K29" s="6">
        <v>3.8</v>
      </c>
      <c r="L29" s="6">
        <v>323</v>
      </c>
      <c r="M29" s="6">
        <v>1.82</v>
      </c>
      <c r="N29" s="6">
        <v>345.8</v>
      </c>
      <c r="O29" s="6" t="s">
        <v>802</v>
      </c>
      <c r="P29" s="6">
        <v>0</v>
      </c>
    </row>
    <row r="30" spans="1:16" s="6" customFormat="1" x14ac:dyDescent="0.25">
      <c r="A30" s="6" t="s">
        <v>83</v>
      </c>
      <c r="B30" s="6" t="s">
        <v>17</v>
      </c>
      <c r="C30" s="6" t="s">
        <v>1246</v>
      </c>
      <c r="D30" s="6" t="s">
        <v>1247</v>
      </c>
      <c r="E30" s="6" t="s">
        <v>20</v>
      </c>
      <c r="F30" s="6">
        <v>179.28200000000001</v>
      </c>
      <c r="G30" s="6" t="s">
        <v>21</v>
      </c>
      <c r="H30" s="6">
        <v>1.69</v>
      </c>
      <c r="I30" s="6">
        <v>0</v>
      </c>
      <c r="J30" s="6">
        <v>0.02</v>
      </c>
      <c r="K30" s="6">
        <v>3.59</v>
      </c>
      <c r="L30" s="6">
        <v>302.99</v>
      </c>
      <c r="M30" s="6">
        <v>1.81</v>
      </c>
      <c r="N30" s="6">
        <v>324.5</v>
      </c>
      <c r="O30" s="6" t="s">
        <v>1261</v>
      </c>
      <c r="P30" s="6">
        <v>153681</v>
      </c>
    </row>
    <row r="31" spans="1:16" s="6" customFormat="1" x14ac:dyDescent="0.25">
      <c r="A31" s="6" t="s">
        <v>83</v>
      </c>
      <c r="B31" s="6" t="s">
        <v>17</v>
      </c>
      <c r="C31" s="6" t="s">
        <v>1241</v>
      </c>
      <c r="D31" s="6" t="s">
        <v>1242</v>
      </c>
      <c r="E31" s="6" t="s">
        <v>20</v>
      </c>
      <c r="F31" s="6">
        <v>280</v>
      </c>
      <c r="G31" s="6" t="s">
        <v>21</v>
      </c>
      <c r="H31" s="6">
        <v>1.69</v>
      </c>
      <c r="I31" s="6">
        <v>0</v>
      </c>
      <c r="J31" s="6">
        <v>0.02</v>
      </c>
      <c r="K31" s="6">
        <v>5.6</v>
      </c>
      <c r="L31" s="6">
        <v>473.2</v>
      </c>
      <c r="M31" s="6">
        <v>1.81</v>
      </c>
      <c r="N31" s="6">
        <v>506.8</v>
      </c>
      <c r="O31" s="6" t="s">
        <v>1154</v>
      </c>
      <c r="P31" s="6">
        <v>0</v>
      </c>
    </row>
    <row r="32" spans="1:16" s="6" customFormat="1" x14ac:dyDescent="0.25">
      <c r="A32" s="6" t="s">
        <v>83</v>
      </c>
      <c r="B32" s="6" t="s">
        <v>496</v>
      </c>
      <c r="C32" s="6" t="s">
        <v>1215</v>
      </c>
      <c r="D32" s="6" t="s">
        <v>1216</v>
      </c>
      <c r="E32" s="6" t="s">
        <v>30</v>
      </c>
      <c r="F32" s="6">
        <v>63.689</v>
      </c>
      <c r="G32" s="6" t="s">
        <v>21</v>
      </c>
      <c r="H32" s="6">
        <v>1.42</v>
      </c>
      <c r="I32" s="6">
        <v>0</v>
      </c>
      <c r="J32" s="6">
        <v>0.03</v>
      </c>
      <c r="K32" s="6">
        <v>1.91</v>
      </c>
      <c r="L32" s="6">
        <v>90.44</v>
      </c>
      <c r="M32" s="6">
        <v>1.51</v>
      </c>
      <c r="N32" s="6">
        <v>96.17</v>
      </c>
      <c r="O32" s="6" t="s">
        <v>1262</v>
      </c>
      <c r="P32" s="6">
        <v>0</v>
      </c>
    </row>
    <row r="33" spans="1:16" s="6" customFormat="1" x14ac:dyDescent="0.25">
      <c r="A33" s="6" t="s">
        <v>16</v>
      </c>
      <c r="B33" s="6" t="s">
        <v>43</v>
      </c>
      <c r="C33" s="6" t="s">
        <v>1215</v>
      </c>
      <c r="D33" s="6" t="s">
        <v>1216</v>
      </c>
      <c r="E33" s="6" t="s">
        <v>87</v>
      </c>
      <c r="F33" s="6">
        <v>61.533999999999899</v>
      </c>
      <c r="G33" s="6" t="s">
        <v>21</v>
      </c>
      <c r="H33" s="6">
        <v>1.71</v>
      </c>
      <c r="I33" s="6">
        <v>0</v>
      </c>
      <c r="J33" s="6">
        <v>7.0000000000000007E-2</v>
      </c>
      <c r="K33" s="6">
        <v>4.3099999999999996</v>
      </c>
      <c r="L33" s="6">
        <v>105.22</v>
      </c>
      <c r="M33" s="6">
        <v>1.76</v>
      </c>
      <c r="N33" s="6">
        <v>108.3</v>
      </c>
      <c r="O33" s="6" t="s">
        <v>527</v>
      </c>
      <c r="P33" s="6">
        <v>0</v>
      </c>
    </row>
    <row r="34" spans="1:16" s="6" customFormat="1" x14ac:dyDescent="0.25">
      <c r="A34" s="6" t="s">
        <v>16</v>
      </c>
      <c r="B34" s="6" t="s">
        <v>17</v>
      </c>
      <c r="C34" s="6" t="s">
        <v>1235</v>
      </c>
      <c r="D34" s="6" t="s">
        <v>1236</v>
      </c>
      <c r="E34" s="6" t="s">
        <v>20</v>
      </c>
      <c r="F34" s="6">
        <v>230</v>
      </c>
      <c r="G34" s="6" t="s">
        <v>21</v>
      </c>
      <c r="H34" s="6">
        <v>1.69</v>
      </c>
      <c r="I34" s="6">
        <v>0</v>
      </c>
      <c r="J34" s="6">
        <v>0.02</v>
      </c>
      <c r="K34" s="6">
        <v>4.5999999999999996</v>
      </c>
      <c r="L34" s="6">
        <v>388.7</v>
      </c>
      <c r="M34" s="6">
        <v>1.81</v>
      </c>
      <c r="N34" s="6">
        <v>416.3</v>
      </c>
      <c r="O34" s="6" t="s">
        <v>191</v>
      </c>
      <c r="P34" s="6">
        <v>0</v>
      </c>
    </row>
    <row r="35" spans="1:16" s="6" customFormat="1" x14ac:dyDescent="0.25">
      <c r="A35" s="6" t="s">
        <v>16</v>
      </c>
      <c r="B35" s="6" t="s">
        <v>17</v>
      </c>
      <c r="C35" s="6" t="s">
        <v>1233</v>
      </c>
      <c r="D35" s="6" t="s">
        <v>1234</v>
      </c>
      <c r="E35" s="6" t="s">
        <v>20</v>
      </c>
      <c r="F35" s="6">
        <v>320.01100000000002</v>
      </c>
      <c r="G35" s="6" t="s">
        <v>21</v>
      </c>
      <c r="H35" s="6">
        <v>1.69</v>
      </c>
      <c r="I35" s="6">
        <v>0</v>
      </c>
      <c r="J35" s="6">
        <v>0.02</v>
      </c>
      <c r="K35" s="6">
        <v>6.4</v>
      </c>
      <c r="L35" s="6">
        <v>540.82000000000005</v>
      </c>
      <c r="M35" s="6">
        <v>1.81</v>
      </c>
      <c r="N35" s="6">
        <v>579.22</v>
      </c>
      <c r="O35" s="6" t="s">
        <v>803</v>
      </c>
      <c r="P35" s="6">
        <v>0</v>
      </c>
    </row>
    <row r="36" spans="1:16" s="6" customFormat="1" x14ac:dyDescent="0.25">
      <c r="A36" s="6" t="s">
        <v>16</v>
      </c>
      <c r="B36" s="6" t="s">
        <v>17</v>
      </c>
      <c r="C36" s="6" t="s">
        <v>1217</v>
      </c>
      <c r="D36" s="6" t="s">
        <v>1218</v>
      </c>
      <c r="E36" s="6" t="s">
        <v>20</v>
      </c>
      <c r="F36" s="6">
        <v>60</v>
      </c>
      <c r="G36" s="6" t="s">
        <v>21</v>
      </c>
      <c r="H36" s="6">
        <v>1.69</v>
      </c>
      <c r="I36" s="6">
        <v>0</v>
      </c>
      <c r="J36" s="6">
        <v>0.02</v>
      </c>
      <c r="K36" s="6">
        <v>1.2</v>
      </c>
      <c r="L36" s="6">
        <v>101.4</v>
      </c>
      <c r="M36" s="6">
        <v>1.81</v>
      </c>
      <c r="N36" s="6">
        <v>108.6</v>
      </c>
      <c r="O36" s="6" t="s">
        <v>144</v>
      </c>
      <c r="P36" s="6">
        <v>0</v>
      </c>
    </row>
    <row r="37" spans="1:16" s="6" customFormat="1" x14ac:dyDescent="0.25">
      <c r="A37" s="6" t="s">
        <v>16</v>
      </c>
      <c r="B37" s="6" t="s">
        <v>496</v>
      </c>
      <c r="C37" s="6" t="s">
        <v>1239</v>
      </c>
      <c r="D37" s="6" t="s">
        <v>1240</v>
      </c>
      <c r="E37" s="6" t="s">
        <v>20</v>
      </c>
      <c r="F37" s="6">
        <v>57</v>
      </c>
      <c r="G37" s="6" t="s">
        <v>21</v>
      </c>
      <c r="H37" s="6">
        <v>1.69</v>
      </c>
      <c r="I37" s="6">
        <v>0</v>
      </c>
      <c r="J37" s="6">
        <v>0.02</v>
      </c>
      <c r="K37" s="6">
        <v>1.1399999999999999</v>
      </c>
      <c r="L37" s="6">
        <v>96.33</v>
      </c>
      <c r="M37" s="6">
        <v>1.81</v>
      </c>
      <c r="N37" s="6">
        <v>103.17</v>
      </c>
      <c r="O37" s="6" t="s">
        <v>1021</v>
      </c>
      <c r="P37" s="6">
        <v>495987</v>
      </c>
    </row>
    <row r="38" spans="1:16" s="6" customFormat="1" x14ac:dyDescent="0.25">
      <c r="A38" s="6" t="s">
        <v>16</v>
      </c>
      <c r="B38" s="6" t="s">
        <v>1222</v>
      </c>
      <c r="C38" s="6" t="s">
        <v>1223</v>
      </c>
      <c r="D38" s="6" t="s">
        <v>1224</v>
      </c>
      <c r="E38" s="6" t="s">
        <v>30</v>
      </c>
      <c r="F38" s="6">
        <v>42.701999999999899</v>
      </c>
      <c r="G38" s="6" t="s">
        <v>21</v>
      </c>
      <c r="H38" s="6">
        <v>1.42</v>
      </c>
      <c r="I38" s="6">
        <v>0</v>
      </c>
      <c r="J38" s="6">
        <v>0.03</v>
      </c>
      <c r="K38" s="6">
        <v>1.28</v>
      </c>
      <c r="L38" s="6">
        <v>60.64</v>
      </c>
      <c r="M38" s="6">
        <v>1.51</v>
      </c>
      <c r="N38" s="6">
        <v>64.48</v>
      </c>
      <c r="O38" s="6" t="s">
        <v>484</v>
      </c>
      <c r="P38" s="6">
        <v>0</v>
      </c>
    </row>
    <row r="39" spans="1:16" s="6" customFormat="1" x14ac:dyDescent="0.25">
      <c r="A39" s="6" t="s">
        <v>86</v>
      </c>
      <c r="B39" s="6" t="s">
        <v>496</v>
      </c>
      <c r="C39" s="6" t="s">
        <v>1241</v>
      </c>
      <c r="D39" s="6" t="s">
        <v>1242</v>
      </c>
      <c r="E39" s="6" t="s">
        <v>20</v>
      </c>
      <c r="F39" s="6">
        <v>140</v>
      </c>
      <c r="G39" s="6" t="s">
        <v>21</v>
      </c>
      <c r="H39" s="6">
        <v>1.69</v>
      </c>
      <c r="I39" s="6">
        <v>0</v>
      </c>
      <c r="J39" s="6">
        <v>0.02</v>
      </c>
      <c r="K39" s="6">
        <v>2.8</v>
      </c>
      <c r="L39" s="6">
        <v>236.6</v>
      </c>
      <c r="M39" s="6">
        <v>1.81</v>
      </c>
      <c r="N39" s="6">
        <v>253.4</v>
      </c>
      <c r="O39" s="6" t="s">
        <v>1200</v>
      </c>
      <c r="P39" s="6">
        <v>0</v>
      </c>
    </row>
    <row r="40" spans="1:16" s="6" customFormat="1" x14ac:dyDescent="0.25">
      <c r="A40" s="6" t="s">
        <v>151</v>
      </c>
      <c r="B40" s="6" t="s">
        <v>24</v>
      </c>
      <c r="C40" s="6" t="s">
        <v>1243</v>
      </c>
      <c r="D40" s="6" t="s">
        <v>1244</v>
      </c>
      <c r="E40" s="6" t="s">
        <v>20</v>
      </c>
      <c r="F40" s="6">
        <v>43.110999999999898</v>
      </c>
      <c r="G40" s="6" t="s">
        <v>21</v>
      </c>
      <c r="H40" s="6">
        <v>1.67</v>
      </c>
      <c r="I40" s="6">
        <v>0</v>
      </c>
      <c r="J40" s="6">
        <v>0.02</v>
      </c>
      <c r="K40" s="6">
        <v>0.86</v>
      </c>
      <c r="L40" s="6">
        <v>72</v>
      </c>
      <c r="M40" s="6">
        <v>1.8</v>
      </c>
      <c r="N40" s="6">
        <v>77.599999999999994</v>
      </c>
      <c r="O40" s="6" t="s">
        <v>691</v>
      </c>
      <c r="P40" s="6">
        <v>0</v>
      </c>
    </row>
    <row r="41" spans="1:16" s="6" customFormat="1" x14ac:dyDescent="0.25">
      <c r="A41" s="6" t="s">
        <v>151</v>
      </c>
      <c r="B41" s="6" t="s">
        <v>17</v>
      </c>
      <c r="C41" s="6" t="s">
        <v>1241</v>
      </c>
      <c r="D41" s="6" t="s">
        <v>1242</v>
      </c>
      <c r="E41" s="6" t="s">
        <v>20</v>
      </c>
      <c r="F41" s="6">
        <v>264.3</v>
      </c>
      <c r="G41" s="6" t="s">
        <v>21</v>
      </c>
      <c r="H41" s="6">
        <v>1.67</v>
      </c>
      <c r="I41" s="6">
        <v>0</v>
      </c>
      <c r="J41" s="6">
        <v>0.02</v>
      </c>
      <c r="K41" s="6">
        <v>5.29</v>
      </c>
      <c r="L41" s="6">
        <v>441.38</v>
      </c>
      <c r="M41" s="6">
        <v>1.8</v>
      </c>
      <c r="N41" s="6">
        <v>475.74</v>
      </c>
      <c r="O41" s="6" t="s">
        <v>976</v>
      </c>
      <c r="P41" s="6">
        <v>0</v>
      </c>
    </row>
    <row r="42" spans="1:16" s="6" customFormat="1" x14ac:dyDescent="0.25">
      <c r="A42" s="6" t="s">
        <v>151</v>
      </c>
      <c r="B42" s="6" t="s">
        <v>17</v>
      </c>
      <c r="C42" s="6" t="s">
        <v>1227</v>
      </c>
      <c r="D42" s="6" t="s">
        <v>1228</v>
      </c>
      <c r="E42" s="6" t="s">
        <v>20</v>
      </c>
      <c r="F42" s="6">
        <v>250</v>
      </c>
      <c r="G42" s="6" t="s">
        <v>21</v>
      </c>
      <c r="H42" s="6">
        <v>1.67</v>
      </c>
      <c r="I42" s="6">
        <v>0</v>
      </c>
      <c r="J42" s="6">
        <v>0.02</v>
      </c>
      <c r="K42" s="6">
        <v>5</v>
      </c>
      <c r="L42" s="6">
        <v>417.5</v>
      </c>
      <c r="M42" s="6">
        <v>1.8</v>
      </c>
      <c r="N42" s="6">
        <v>450</v>
      </c>
      <c r="O42" s="6" t="s">
        <v>1263</v>
      </c>
      <c r="P42" s="6">
        <v>0</v>
      </c>
    </row>
    <row r="43" spans="1:16" s="6" customFormat="1" x14ac:dyDescent="0.25">
      <c r="A43" s="6" t="s">
        <v>151</v>
      </c>
      <c r="B43" s="6" t="s">
        <v>17</v>
      </c>
      <c r="C43" s="6" t="s">
        <v>1239</v>
      </c>
      <c r="D43" s="6" t="s">
        <v>1240</v>
      </c>
      <c r="E43" s="6" t="s">
        <v>20</v>
      </c>
      <c r="F43" s="6">
        <v>60</v>
      </c>
      <c r="G43" s="6" t="s">
        <v>21</v>
      </c>
      <c r="H43" s="6">
        <v>1.67</v>
      </c>
      <c r="I43" s="6">
        <v>0</v>
      </c>
      <c r="J43" s="6">
        <v>0.02</v>
      </c>
      <c r="K43" s="6">
        <v>1.2</v>
      </c>
      <c r="L43" s="6">
        <v>100.2</v>
      </c>
      <c r="M43" s="6">
        <v>1.8</v>
      </c>
      <c r="N43" s="6">
        <v>108</v>
      </c>
      <c r="O43" s="6" t="s">
        <v>299</v>
      </c>
      <c r="P43" s="6">
        <v>0</v>
      </c>
    </row>
    <row r="44" spans="1:16" s="6" customFormat="1" x14ac:dyDescent="0.25">
      <c r="A44" s="6" t="s">
        <v>151</v>
      </c>
      <c r="B44" s="6" t="s">
        <v>32</v>
      </c>
      <c r="C44" s="6" t="s">
        <v>1237</v>
      </c>
      <c r="D44" s="6" t="s">
        <v>1238</v>
      </c>
      <c r="E44" s="6" t="s">
        <v>20</v>
      </c>
      <c r="F44" s="6">
        <v>183.366999999999</v>
      </c>
      <c r="G44" s="6" t="s">
        <v>21</v>
      </c>
      <c r="H44" s="6">
        <v>1.67</v>
      </c>
      <c r="I44" s="6">
        <v>0</v>
      </c>
      <c r="J44" s="6">
        <v>0.02</v>
      </c>
      <c r="K44" s="6">
        <v>3.67</v>
      </c>
      <c r="L44" s="6">
        <v>306.22000000000003</v>
      </c>
      <c r="M44" s="6">
        <v>1.8</v>
      </c>
      <c r="N44" s="6">
        <v>330.06</v>
      </c>
      <c r="O44" s="6" t="s">
        <v>184</v>
      </c>
      <c r="P44" s="6">
        <v>173772</v>
      </c>
    </row>
    <row r="45" spans="1:16" s="6" customFormat="1" x14ac:dyDescent="0.25">
      <c r="A45" s="6" t="s">
        <v>23</v>
      </c>
      <c r="B45" s="6" t="s">
        <v>24</v>
      </c>
      <c r="C45" s="6" t="s">
        <v>1225</v>
      </c>
      <c r="D45" s="6" t="s">
        <v>1226</v>
      </c>
      <c r="E45" s="6" t="s">
        <v>20</v>
      </c>
      <c r="F45" s="6">
        <v>55.271999999999899</v>
      </c>
      <c r="G45" s="6" t="s">
        <v>21</v>
      </c>
      <c r="H45" s="6">
        <v>1.67</v>
      </c>
      <c r="I45" s="6">
        <v>0</v>
      </c>
      <c r="J45" s="6">
        <v>0.02</v>
      </c>
      <c r="K45" s="6">
        <v>1.1100000000000001</v>
      </c>
      <c r="L45" s="6">
        <v>92.3</v>
      </c>
      <c r="M45" s="6">
        <v>1.8</v>
      </c>
      <c r="N45" s="6">
        <v>99.49</v>
      </c>
      <c r="O45" s="6" t="s">
        <v>503</v>
      </c>
      <c r="P45" s="6">
        <v>0</v>
      </c>
    </row>
    <row r="46" spans="1:16" s="6" customFormat="1" x14ac:dyDescent="0.25">
      <c r="A46" s="6" t="s">
        <v>23</v>
      </c>
      <c r="B46" s="6" t="s">
        <v>17</v>
      </c>
      <c r="C46" s="6" t="s">
        <v>1264</v>
      </c>
      <c r="D46" s="6" t="s">
        <v>1265</v>
      </c>
      <c r="E46" s="6" t="s">
        <v>20</v>
      </c>
      <c r="F46" s="6">
        <v>46.572000000000003</v>
      </c>
      <c r="G46" s="6" t="s">
        <v>21</v>
      </c>
      <c r="H46" s="6">
        <v>1.67</v>
      </c>
      <c r="I46" s="6">
        <v>0</v>
      </c>
      <c r="J46" s="6">
        <v>0.02</v>
      </c>
      <c r="K46" s="6">
        <v>0.93</v>
      </c>
      <c r="L46" s="6">
        <v>77.78</v>
      </c>
      <c r="M46" s="6">
        <v>1.8</v>
      </c>
      <c r="N46" s="6">
        <v>83.83</v>
      </c>
      <c r="O46" s="6" t="s">
        <v>474</v>
      </c>
      <c r="P46" s="6">
        <v>0</v>
      </c>
    </row>
    <row r="47" spans="1:16" s="6" customFormat="1" x14ac:dyDescent="0.25">
      <c r="A47" s="6" t="s">
        <v>23</v>
      </c>
      <c r="B47" s="6" t="s">
        <v>1222</v>
      </c>
      <c r="C47" s="6" t="s">
        <v>1223</v>
      </c>
      <c r="D47" s="6" t="s">
        <v>1224</v>
      </c>
      <c r="E47" s="6" t="s">
        <v>30</v>
      </c>
      <c r="F47" s="6">
        <v>40.079000000000001</v>
      </c>
      <c r="G47" s="6" t="s">
        <v>21</v>
      </c>
      <c r="H47" s="6">
        <v>1.42</v>
      </c>
      <c r="I47" s="6">
        <v>0</v>
      </c>
      <c r="J47" s="6">
        <v>0.03</v>
      </c>
      <c r="K47" s="6">
        <v>1.2</v>
      </c>
      <c r="L47" s="6">
        <v>56.91</v>
      </c>
      <c r="M47" s="6">
        <v>1.51</v>
      </c>
      <c r="N47" s="6">
        <v>60.52</v>
      </c>
      <c r="O47" s="6" t="s">
        <v>357</v>
      </c>
      <c r="P47" s="6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P9"/>
  <sheetViews>
    <sheetView workbookViewId="0">
      <selection activeCell="N28" sqref="N28"/>
    </sheetView>
  </sheetViews>
  <sheetFormatPr defaultRowHeight="15" x14ac:dyDescent="0.25"/>
  <cols>
    <col min="1" max="1" width="10.42578125" bestFit="1" customWidth="1"/>
    <col min="2" max="2" width="20.42578125" bestFit="1" customWidth="1"/>
    <col min="3" max="3" width="8.5703125" bestFit="1" customWidth="1"/>
    <col min="4" max="4" width="18.28515625" bestFit="1" customWidth="1"/>
    <col min="5" max="5" width="16.4257812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56</v>
      </c>
      <c r="B2" s="6" t="s">
        <v>17</v>
      </c>
      <c r="C2" s="6" t="s">
        <v>1266</v>
      </c>
      <c r="D2" s="6" t="s">
        <v>1267</v>
      </c>
      <c r="E2" s="6" t="s">
        <v>20</v>
      </c>
      <c r="F2" s="6">
        <v>61.43</v>
      </c>
      <c r="G2" s="6" t="s">
        <v>21</v>
      </c>
      <c r="H2" s="6">
        <v>1.65</v>
      </c>
      <c r="I2" s="6">
        <v>0</v>
      </c>
      <c r="J2" s="6">
        <v>0</v>
      </c>
      <c r="K2" s="6">
        <v>0.18</v>
      </c>
      <c r="L2" s="6">
        <v>101.36</v>
      </c>
      <c r="M2" s="6">
        <v>1.72</v>
      </c>
      <c r="N2" s="6">
        <v>105.66</v>
      </c>
      <c r="O2" s="6" t="s">
        <v>1268</v>
      </c>
      <c r="P2" s="6">
        <v>421053</v>
      </c>
    </row>
    <row r="3" spans="1:16" s="6" customFormat="1" x14ac:dyDescent="0.25">
      <c r="A3" s="6" t="s">
        <v>70</v>
      </c>
      <c r="B3" s="6" t="s">
        <v>24</v>
      </c>
      <c r="C3" s="6" t="s">
        <v>1269</v>
      </c>
      <c r="D3" s="6" t="s">
        <v>1270</v>
      </c>
      <c r="E3" s="6" t="s">
        <v>20</v>
      </c>
      <c r="F3" s="6">
        <v>35.552</v>
      </c>
      <c r="G3" s="6" t="s">
        <v>21</v>
      </c>
      <c r="H3" s="6">
        <v>1.76</v>
      </c>
      <c r="I3" s="6">
        <v>0</v>
      </c>
      <c r="J3" s="6">
        <v>0.02</v>
      </c>
      <c r="K3" s="6">
        <v>0.71</v>
      </c>
      <c r="L3" s="6">
        <v>62.57</v>
      </c>
      <c r="M3" s="6">
        <v>1.81</v>
      </c>
      <c r="N3" s="6">
        <v>64.349999999999994</v>
      </c>
      <c r="O3" s="6" t="s">
        <v>27</v>
      </c>
      <c r="P3" s="6">
        <v>174907</v>
      </c>
    </row>
    <row r="4" spans="1:16" s="6" customFormat="1" x14ac:dyDescent="0.25">
      <c r="A4" s="6" t="s">
        <v>141</v>
      </c>
      <c r="B4" s="6" t="s">
        <v>17</v>
      </c>
      <c r="C4" s="6" t="s">
        <v>1266</v>
      </c>
      <c r="D4" s="6" t="s">
        <v>1267</v>
      </c>
      <c r="E4" s="6" t="s">
        <v>20</v>
      </c>
      <c r="F4" s="6">
        <v>40.481000000000002</v>
      </c>
      <c r="G4" s="6" t="s">
        <v>21</v>
      </c>
      <c r="H4" s="6">
        <v>1.75</v>
      </c>
      <c r="I4" s="6">
        <v>0</v>
      </c>
      <c r="J4" s="6">
        <v>0.02</v>
      </c>
      <c r="K4" s="6">
        <v>0.81</v>
      </c>
      <c r="L4" s="6">
        <v>70.84</v>
      </c>
      <c r="M4" s="6">
        <v>1.81</v>
      </c>
      <c r="N4" s="6">
        <v>73.27</v>
      </c>
      <c r="O4" s="6" t="s">
        <v>724</v>
      </c>
      <c r="P4" s="6">
        <v>0</v>
      </c>
    </row>
    <row r="5" spans="1:16" s="6" customFormat="1" x14ac:dyDescent="0.25">
      <c r="A5" s="6" t="s">
        <v>16</v>
      </c>
      <c r="B5" s="6" t="s">
        <v>17</v>
      </c>
      <c r="C5" s="6" t="s">
        <v>1266</v>
      </c>
      <c r="D5" s="6" t="s">
        <v>1267</v>
      </c>
      <c r="E5" s="6" t="s">
        <v>20</v>
      </c>
      <c r="F5" s="6">
        <v>65.629999999999896</v>
      </c>
      <c r="G5" s="6" t="s">
        <v>21</v>
      </c>
      <c r="H5" s="6">
        <v>1.69</v>
      </c>
      <c r="I5" s="6">
        <v>0</v>
      </c>
      <c r="J5" s="6">
        <v>0.02</v>
      </c>
      <c r="K5" s="6">
        <v>1.31</v>
      </c>
      <c r="L5" s="6">
        <v>110.91</v>
      </c>
      <c r="M5" s="6">
        <v>1.81</v>
      </c>
      <c r="N5" s="6">
        <v>118.79</v>
      </c>
      <c r="O5" s="6" t="s">
        <v>1083</v>
      </c>
      <c r="P5" s="6">
        <v>421911</v>
      </c>
    </row>
    <row r="6" spans="1:16" s="6" customFormat="1" x14ac:dyDescent="0.25">
      <c r="A6" s="6" t="s">
        <v>86</v>
      </c>
      <c r="B6" s="6" t="s">
        <v>24</v>
      </c>
      <c r="C6" s="6" t="s">
        <v>1269</v>
      </c>
      <c r="D6" s="6" t="s">
        <v>1270</v>
      </c>
      <c r="E6" s="6" t="s">
        <v>20</v>
      </c>
      <c r="F6" s="6">
        <v>29.26</v>
      </c>
      <c r="G6" s="6" t="s">
        <v>21</v>
      </c>
      <c r="H6" s="6">
        <v>1.69</v>
      </c>
      <c r="I6" s="6">
        <v>0</v>
      </c>
      <c r="J6" s="6">
        <v>0.02</v>
      </c>
      <c r="K6" s="6">
        <v>0.59</v>
      </c>
      <c r="L6" s="6">
        <v>49.45</v>
      </c>
      <c r="M6" s="6">
        <v>1.81</v>
      </c>
      <c r="N6" s="6">
        <v>52.96</v>
      </c>
      <c r="O6" s="6" t="s">
        <v>1271</v>
      </c>
      <c r="P6" s="6">
        <v>175359</v>
      </c>
    </row>
    <row r="7" spans="1:16" s="6" customFormat="1" x14ac:dyDescent="0.25">
      <c r="A7" s="6" t="s">
        <v>86</v>
      </c>
      <c r="B7" s="6" t="s">
        <v>17</v>
      </c>
      <c r="C7" s="6" t="s">
        <v>1266</v>
      </c>
      <c r="D7" s="6" t="s">
        <v>1267</v>
      </c>
      <c r="E7" s="6" t="s">
        <v>20</v>
      </c>
      <c r="F7" s="6">
        <v>39.978000000000002</v>
      </c>
      <c r="G7" s="6" t="s">
        <v>21</v>
      </c>
      <c r="H7" s="6">
        <v>1.69</v>
      </c>
      <c r="I7" s="6">
        <v>0</v>
      </c>
      <c r="J7" s="6">
        <v>0.02</v>
      </c>
      <c r="K7" s="6">
        <v>0.8</v>
      </c>
      <c r="L7" s="6">
        <v>67.56</v>
      </c>
      <c r="M7" s="6">
        <v>1.81</v>
      </c>
      <c r="N7" s="6">
        <v>72.36</v>
      </c>
      <c r="O7" s="6" t="s">
        <v>1154</v>
      </c>
      <c r="P7" s="6">
        <v>422167</v>
      </c>
    </row>
    <row r="8" spans="1:16" s="6" customFormat="1" x14ac:dyDescent="0.25">
      <c r="A8" s="6" t="s">
        <v>23</v>
      </c>
      <c r="B8" s="6" t="s">
        <v>17</v>
      </c>
      <c r="C8" s="6" t="s">
        <v>1266</v>
      </c>
      <c r="D8" s="6" t="s">
        <v>1267</v>
      </c>
      <c r="E8" s="6" t="s">
        <v>20</v>
      </c>
      <c r="F8" s="6">
        <v>43.921999999999898</v>
      </c>
      <c r="G8" s="6" t="s">
        <v>21</v>
      </c>
      <c r="H8" s="6">
        <v>1.67</v>
      </c>
      <c r="I8" s="6">
        <v>0</v>
      </c>
      <c r="J8" s="6">
        <v>0.02</v>
      </c>
      <c r="K8" s="6">
        <v>0.88</v>
      </c>
      <c r="L8" s="6">
        <v>73.349999999999994</v>
      </c>
      <c r="M8" s="6">
        <v>1.8</v>
      </c>
      <c r="N8" s="6">
        <v>79.06</v>
      </c>
      <c r="O8" s="6" t="s">
        <v>772</v>
      </c>
      <c r="P8" s="6">
        <v>422500</v>
      </c>
    </row>
    <row r="9" spans="1:16" x14ac:dyDescent="0.25">
      <c r="F9">
        <f>SUM(F2:F8)</f>
        <v>316.25299999999982</v>
      </c>
      <c r="L9">
        <f>SUM(L2:L8)</f>
        <v>536.04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P69"/>
  <sheetViews>
    <sheetView workbookViewId="0">
      <selection activeCell="K27" sqref="K27"/>
    </sheetView>
  </sheetViews>
  <sheetFormatPr defaultRowHeight="15" x14ac:dyDescent="0.25"/>
  <cols>
    <col min="1" max="1" width="10.42578125" bestFit="1" customWidth="1"/>
    <col min="2" max="2" width="33.28515625" bestFit="1" customWidth="1"/>
    <col min="3" max="3" width="9.7109375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70</v>
      </c>
      <c r="B2" s="6" t="s">
        <v>17</v>
      </c>
      <c r="C2" s="6" t="s">
        <v>1293</v>
      </c>
      <c r="D2" s="6" t="s">
        <v>1294</v>
      </c>
      <c r="E2" s="6" t="s">
        <v>20</v>
      </c>
      <c r="F2" s="6">
        <v>65.718000000000004</v>
      </c>
      <c r="G2" s="6" t="s">
        <v>21</v>
      </c>
      <c r="H2" s="6">
        <v>1.76</v>
      </c>
      <c r="I2" s="6">
        <v>0</v>
      </c>
      <c r="J2" s="6">
        <v>0.02</v>
      </c>
      <c r="K2" s="6">
        <v>1.31</v>
      </c>
      <c r="L2" s="6">
        <v>115.66</v>
      </c>
      <c r="M2" s="6">
        <v>1.81</v>
      </c>
      <c r="N2" s="6">
        <v>118.95</v>
      </c>
      <c r="O2" s="6" t="s">
        <v>714</v>
      </c>
      <c r="P2" s="6">
        <v>87875</v>
      </c>
    </row>
    <row r="3" spans="1:16" s="6" customFormat="1" x14ac:dyDescent="0.25">
      <c r="A3" s="6" t="s">
        <v>70</v>
      </c>
      <c r="B3" s="6" t="s">
        <v>17</v>
      </c>
      <c r="C3" s="6" t="s">
        <v>1278</v>
      </c>
      <c r="D3" s="6" t="s">
        <v>1279</v>
      </c>
      <c r="E3" s="6" t="s">
        <v>20</v>
      </c>
      <c r="F3" s="6">
        <v>35.607999999999898</v>
      </c>
      <c r="G3" s="6" t="s">
        <v>21</v>
      </c>
      <c r="H3" s="6">
        <v>1.76</v>
      </c>
      <c r="I3" s="6">
        <v>0</v>
      </c>
      <c r="J3" s="6">
        <v>0.02</v>
      </c>
      <c r="K3" s="6">
        <v>0.71</v>
      </c>
      <c r="L3" s="6">
        <v>62.67</v>
      </c>
      <c r="M3" s="6">
        <v>1.81</v>
      </c>
      <c r="N3" s="6">
        <v>64.45</v>
      </c>
      <c r="O3" s="6" t="s">
        <v>1310</v>
      </c>
      <c r="P3" s="6">
        <v>414606</v>
      </c>
    </row>
    <row r="4" spans="1:16" s="6" customFormat="1" x14ac:dyDescent="0.25">
      <c r="A4" s="6" t="s">
        <v>70</v>
      </c>
      <c r="B4" s="6" t="s">
        <v>181</v>
      </c>
      <c r="C4" s="6" t="s">
        <v>520</v>
      </c>
      <c r="D4" s="6" t="s">
        <v>1277</v>
      </c>
      <c r="E4" s="6" t="s">
        <v>20</v>
      </c>
      <c r="F4" s="6">
        <v>35.709000000000003</v>
      </c>
      <c r="G4" s="6" t="s">
        <v>21</v>
      </c>
      <c r="H4" s="6">
        <v>1.76</v>
      </c>
      <c r="I4" s="6">
        <v>0</v>
      </c>
      <c r="J4" s="6">
        <v>0.02</v>
      </c>
      <c r="K4" s="6">
        <v>0.71</v>
      </c>
      <c r="L4" s="6">
        <v>62.85</v>
      </c>
      <c r="M4" s="6">
        <v>1.82</v>
      </c>
      <c r="N4" s="6">
        <v>64.989999999999995</v>
      </c>
      <c r="O4" s="6" t="s">
        <v>1133</v>
      </c>
      <c r="P4" s="6">
        <v>0</v>
      </c>
    </row>
    <row r="5" spans="1:16" s="6" customFormat="1" x14ac:dyDescent="0.25">
      <c r="A5" s="6" t="s">
        <v>141</v>
      </c>
      <c r="B5" s="6" t="s">
        <v>17</v>
      </c>
      <c r="C5" s="6" t="s">
        <v>1272</v>
      </c>
      <c r="D5" s="6" t="s">
        <v>1273</v>
      </c>
      <c r="E5" s="6" t="s">
        <v>20</v>
      </c>
      <c r="F5" s="6">
        <v>56.569000000000003</v>
      </c>
      <c r="G5" s="6" t="s">
        <v>21</v>
      </c>
      <c r="H5" s="6">
        <v>1.75</v>
      </c>
      <c r="I5" s="6">
        <v>0</v>
      </c>
      <c r="J5" s="6">
        <v>0.02</v>
      </c>
      <c r="K5" s="6">
        <v>1.1299999999999999</v>
      </c>
      <c r="L5" s="6">
        <v>99</v>
      </c>
      <c r="M5" s="6">
        <v>1.81</v>
      </c>
      <c r="N5" s="6">
        <v>102.39</v>
      </c>
      <c r="O5" s="6" t="s">
        <v>795</v>
      </c>
      <c r="P5" s="6">
        <v>675478</v>
      </c>
    </row>
    <row r="6" spans="1:16" s="6" customFormat="1" x14ac:dyDescent="0.25">
      <c r="A6" s="6" t="s">
        <v>141</v>
      </c>
      <c r="B6" s="6" t="s">
        <v>1274</v>
      </c>
      <c r="C6" s="6" t="s">
        <v>1275</v>
      </c>
      <c r="D6" s="6" t="s">
        <v>1276</v>
      </c>
      <c r="E6" s="6" t="s">
        <v>20</v>
      </c>
      <c r="F6" s="6">
        <v>75.7289999999999</v>
      </c>
      <c r="G6" s="6" t="s">
        <v>21</v>
      </c>
      <c r="H6" s="6">
        <v>1.75</v>
      </c>
      <c r="I6" s="6">
        <v>0</v>
      </c>
      <c r="J6" s="6">
        <v>0.02</v>
      </c>
      <c r="K6" s="6">
        <v>1.51</v>
      </c>
      <c r="L6" s="6">
        <v>132.53</v>
      </c>
      <c r="M6" s="6">
        <v>1.81</v>
      </c>
      <c r="N6" s="6">
        <v>137.07</v>
      </c>
      <c r="O6" s="6" t="s">
        <v>1311</v>
      </c>
      <c r="P6" s="6">
        <v>200926</v>
      </c>
    </row>
    <row r="7" spans="1:16" s="6" customFormat="1" x14ac:dyDescent="0.25">
      <c r="A7" s="6" t="s">
        <v>72</v>
      </c>
      <c r="B7" s="6" t="s">
        <v>17</v>
      </c>
      <c r="C7" s="6" t="s">
        <v>1293</v>
      </c>
      <c r="D7" s="6" t="s">
        <v>1294</v>
      </c>
      <c r="E7" s="6" t="s">
        <v>20</v>
      </c>
      <c r="F7" s="6">
        <v>49.451000000000001</v>
      </c>
      <c r="G7" s="6" t="s">
        <v>21</v>
      </c>
      <c r="H7" s="6">
        <v>1.73</v>
      </c>
      <c r="I7" s="6">
        <v>0</v>
      </c>
      <c r="J7" s="6">
        <v>0.02</v>
      </c>
      <c r="K7" s="6">
        <v>0.99</v>
      </c>
      <c r="L7" s="6">
        <v>85.55</v>
      </c>
      <c r="M7" s="6">
        <v>1.82</v>
      </c>
      <c r="N7" s="6">
        <v>90</v>
      </c>
      <c r="O7" s="6" t="s">
        <v>147</v>
      </c>
      <c r="P7" s="6">
        <v>88337</v>
      </c>
    </row>
    <row r="8" spans="1:16" s="6" customFormat="1" x14ac:dyDescent="0.25">
      <c r="A8" s="6" t="s">
        <v>72</v>
      </c>
      <c r="B8" s="6" t="s">
        <v>95</v>
      </c>
      <c r="C8" s="6" t="s">
        <v>1295</v>
      </c>
      <c r="D8" s="6" t="s">
        <v>1296</v>
      </c>
      <c r="E8" s="6" t="s">
        <v>20</v>
      </c>
      <c r="F8" s="6">
        <v>64.713999999999899</v>
      </c>
      <c r="G8" s="6" t="s">
        <v>21</v>
      </c>
      <c r="H8" s="6">
        <v>1.73</v>
      </c>
      <c r="I8" s="6">
        <v>0</v>
      </c>
      <c r="J8" s="6">
        <v>0.02</v>
      </c>
      <c r="K8" s="6">
        <v>1.29</v>
      </c>
      <c r="L8" s="6">
        <v>111.96</v>
      </c>
      <c r="M8" s="6">
        <v>1.82</v>
      </c>
      <c r="N8" s="6">
        <v>117.78</v>
      </c>
      <c r="O8" s="6" t="s">
        <v>1312</v>
      </c>
      <c r="P8" s="6">
        <v>309213</v>
      </c>
    </row>
    <row r="9" spans="1:16" s="6" customFormat="1" x14ac:dyDescent="0.25">
      <c r="A9" s="6" t="s">
        <v>72</v>
      </c>
      <c r="B9" s="6" t="s">
        <v>103</v>
      </c>
      <c r="C9" s="6" t="s">
        <v>1278</v>
      </c>
      <c r="D9" s="6" t="s">
        <v>1279</v>
      </c>
      <c r="E9" s="6" t="s">
        <v>20</v>
      </c>
      <c r="F9" s="6">
        <v>60.988999999999898</v>
      </c>
      <c r="G9" s="6" t="s">
        <v>21</v>
      </c>
      <c r="H9" s="6">
        <v>1.73</v>
      </c>
      <c r="I9" s="6">
        <v>0</v>
      </c>
      <c r="J9" s="6">
        <v>0.02</v>
      </c>
      <c r="K9" s="6">
        <v>1.22</v>
      </c>
      <c r="L9" s="6">
        <v>105.51</v>
      </c>
      <c r="M9" s="6">
        <v>1.82</v>
      </c>
      <c r="N9" s="6">
        <v>111</v>
      </c>
      <c r="O9" s="6" t="s">
        <v>799</v>
      </c>
      <c r="P9" s="6">
        <v>414938</v>
      </c>
    </row>
    <row r="10" spans="1:16" s="6" customFormat="1" x14ac:dyDescent="0.25">
      <c r="A10" s="6" t="s">
        <v>77</v>
      </c>
      <c r="B10" s="6" t="s">
        <v>24</v>
      </c>
      <c r="C10" s="6" t="s">
        <v>1313</v>
      </c>
      <c r="D10" s="6" t="s">
        <v>1314</v>
      </c>
      <c r="E10" s="6" t="s">
        <v>20</v>
      </c>
      <c r="F10" s="6">
        <v>67.070999999999898</v>
      </c>
      <c r="G10" s="6" t="s">
        <v>21</v>
      </c>
      <c r="H10" s="6">
        <v>1.73</v>
      </c>
      <c r="I10" s="6">
        <v>0</v>
      </c>
      <c r="J10" s="6">
        <v>0.02</v>
      </c>
      <c r="K10" s="6">
        <v>1.34</v>
      </c>
      <c r="L10" s="6">
        <v>116.03</v>
      </c>
      <c r="M10" s="6">
        <v>1.82</v>
      </c>
      <c r="N10" s="6">
        <v>122.07</v>
      </c>
      <c r="O10" s="6" t="s">
        <v>481</v>
      </c>
      <c r="P10" s="6">
        <v>23822</v>
      </c>
    </row>
    <row r="11" spans="1:16" s="6" customFormat="1" x14ac:dyDescent="0.25">
      <c r="A11" s="6" t="s">
        <v>77</v>
      </c>
      <c r="B11" s="6" t="s">
        <v>17</v>
      </c>
      <c r="C11" s="6" t="s">
        <v>1287</v>
      </c>
      <c r="D11" s="6" t="s">
        <v>1288</v>
      </c>
      <c r="E11" s="6" t="s">
        <v>20</v>
      </c>
      <c r="F11" s="6">
        <v>324.12099999999901</v>
      </c>
      <c r="G11" s="6" t="s">
        <v>21</v>
      </c>
      <c r="H11" s="6">
        <v>1.73</v>
      </c>
      <c r="I11" s="6">
        <v>0</v>
      </c>
      <c r="J11" s="6">
        <v>0.02</v>
      </c>
      <c r="K11" s="6">
        <v>6.48</v>
      </c>
      <c r="L11" s="6">
        <v>560.73</v>
      </c>
      <c r="M11" s="6">
        <v>1.82</v>
      </c>
      <c r="N11" s="6">
        <v>589.9</v>
      </c>
      <c r="O11" s="6" t="s">
        <v>1258</v>
      </c>
      <c r="P11" s="6">
        <v>1000034</v>
      </c>
    </row>
    <row r="12" spans="1:16" s="6" customFormat="1" x14ac:dyDescent="0.25">
      <c r="A12" s="6" t="s">
        <v>77</v>
      </c>
      <c r="B12" s="6" t="s">
        <v>17</v>
      </c>
      <c r="C12" s="6" t="s">
        <v>1272</v>
      </c>
      <c r="D12" s="6" t="s">
        <v>1273</v>
      </c>
      <c r="E12" s="6" t="s">
        <v>20</v>
      </c>
      <c r="F12" s="6">
        <v>60.4729999999999</v>
      </c>
      <c r="G12" s="6" t="s">
        <v>21</v>
      </c>
      <c r="H12" s="6">
        <v>1.73</v>
      </c>
      <c r="I12" s="6">
        <v>0</v>
      </c>
      <c r="J12" s="6">
        <v>0.02</v>
      </c>
      <c r="K12" s="6">
        <v>1.21</v>
      </c>
      <c r="L12" s="6">
        <v>104.62</v>
      </c>
      <c r="M12" s="6">
        <v>1.82</v>
      </c>
      <c r="N12" s="6">
        <v>110.06</v>
      </c>
      <c r="O12" s="6" t="s">
        <v>1315</v>
      </c>
      <c r="P12" s="6">
        <v>675948</v>
      </c>
    </row>
    <row r="13" spans="1:16" s="6" customFormat="1" x14ac:dyDescent="0.25">
      <c r="A13" s="6" t="s">
        <v>77</v>
      </c>
      <c r="B13" s="6" t="s">
        <v>17</v>
      </c>
      <c r="C13" s="6" t="s">
        <v>1278</v>
      </c>
      <c r="D13" s="6" t="s">
        <v>1279</v>
      </c>
      <c r="E13" s="6" t="s">
        <v>20</v>
      </c>
      <c r="F13" s="6">
        <v>45.582000000000001</v>
      </c>
      <c r="G13" s="6" t="s">
        <v>21</v>
      </c>
      <c r="H13" s="6">
        <v>1.73</v>
      </c>
      <c r="I13" s="6">
        <v>0</v>
      </c>
      <c r="J13" s="6">
        <v>0.02</v>
      </c>
      <c r="K13" s="6">
        <v>0.91</v>
      </c>
      <c r="L13" s="6">
        <v>78.86</v>
      </c>
      <c r="M13" s="6">
        <v>1.82</v>
      </c>
      <c r="N13" s="6">
        <v>82.96</v>
      </c>
      <c r="O13" s="6" t="s">
        <v>249</v>
      </c>
      <c r="P13" s="6">
        <v>415208</v>
      </c>
    </row>
    <row r="14" spans="1:16" s="6" customFormat="1" x14ac:dyDescent="0.25">
      <c r="A14" s="6" t="s">
        <v>77</v>
      </c>
      <c r="B14" s="6" t="s">
        <v>103</v>
      </c>
      <c r="C14" s="6" t="s">
        <v>1283</v>
      </c>
      <c r="D14" s="6" t="s">
        <v>1284</v>
      </c>
      <c r="E14" s="6" t="s">
        <v>20</v>
      </c>
      <c r="F14" s="6">
        <v>32.758000000000003</v>
      </c>
      <c r="G14" s="6" t="s">
        <v>21</v>
      </c>
      <c r="H14" s="6">
        <v>1.73</v>
      </c>
      <c r="I14" s="6">
        <v>0</v>
      </c>
      <c r="J14" s="6">
        <v>0.02</v>
      </c>
      <c r="K14" s="6">
        <v>0.66</v>
      </c>
      <c r="L14" s="6">
        <v>56.67</v>
      </c>
      <c r="M14" s="6">
        <v>1.82</v>
      </c>
      <c r="N14" s="6">
        <v>59.62</v>
      </c>
      <c r="O14" s="6" t="s">
        <v>218</v>
      </c>
      <c r="P14" s="6">
        <v>184120</v>
      </c>
    </row>
    <row r="15" spans="1:16" s="6" customFormat="1" x14ac:dyDescent="0.25">
      <c r="A15" s="6" t="s">
        <v>77</v>
      </c>
      <c r="B15" s="6" t="s">
        <v>285</v>
      </c>
      <c r="C15" s="6" t="s">
        <v>1272</v>
      </c>
      <c r="D15" s="6" t="s">
        <v>1273</v>
      </c>
      <c r="E15" s="6" t="s">
        <v>20</v>
      </c>
      <c r="F15" s="6">
        <v>43.219999999999899</v>
      </c>
      <c r="G15" s="6" t="s">
        <v>21</v>
      </c>
      <c r="H15" s="6">
        <v>1.73</v>
      </c>
      <c r="I15" s="6">
        <v>0</v>
      </c>
      <c r="J15" s="6">
        <v>0.02</v>
      </c>
      <c r="K15" s="6">
        <v>0.86</v>
      </c>
      <c r="L15" s="6">
        <v>74.77</v>
      </c>
      <c r="M15" s="6">
        <v>1.82</v>
      </c>
      <c r="N15" s="6">
        <v>78.66</v>
      </c>
      <c r="O15" s="6" t="s">
        <v>284</v>
      </c>
      <c r="P15" s="6">
        <v>676267</v>
      </c>
    </row>
    <row r="16" spans="1:16" s="6" customFormat="1" x14ac:dyDescent="0.25">
      <c r="A16" s="6" t="s">
        <v>243</v>
      </c>
      <c r="B16" s="6" t="s">
        <v>84</v>
      </c>
      <c r="C16" s="6" t="s">
        <v>1291</v>
      </c>
      <c r="D16" s="6" t="s">
        <v>1292</v>
      </c>
      <c r="E16" s="6" t="s">
        <v>20</v>
      </c>
      <c r="F16" s="6">
        <v>76.191000000000003</v>
      </c>
      <c r="G16" s="6" t="s">
        <v>21</v>
      </c>
      <c r="H16" s="6">
        <v>1.72</v>
      </c>
      <c r="I16" s="6">
        <v>0</v>
      </c>
      <c r="J16" s="6">
        <v>0.02</v>
      </c>
      <c r="K16" s="6">
        <v>1.52</v>
      </c>
      <c r="L16" s="6">
        <v>131.05000000000001</v>
      </c>
      <c r="M16" s="6">
        <v>1.83</v>
      </c>
      <c r="N16" s="6">
        <v>139.43</v>
      </c>
      <c r="O16" s="6" t="s">
        <v>611</v>
      </c>
      <c r="P16" s="6">
        <v>196856</v>
      </c>
    </row>
    <row r="17" spans="1:16" s="6" customFormat="1" x14ac:dyDescent="0.25">
      <c r="A17" s="6" t="s">
        <v>243</v>
      </c>
      <c r="B17" s="6" t="s">
        <v>600</v>
      </c>
      <c r="C17" s="6" t="s">
        <v>1275</v>
      </c>
      <c r="D17" s="6" t="s">
        <v>1276</v>
      </c>
      <c r="E17" s="6" t="s">
        <v>20</v>
      </c>
      <c r="F17" s="6">
        <v>71.5</v>
      </c>
      <c r="G17" s="6" t="s">
        <v>21</v>
      </c>
      <c r="H17" s="6">
        <v>1.72</v>
      </c>
      <c r="I17" s="6">
        <v>0</v>
      </c>
      <c r="J17" s="6">
        <v>0.02</v>
      </c>
      <c r="K17" s="6">
        <v>1.43</v>
      </c>
      <c r="L17" s="6">
        <v>122.98</v>
      </c>
      <c r="M17" s="6">
        <v>1.82</v>
      </c>
      <c r="N17" s="6">
        <v>130.13</v>
      </c>
      <c r="O17" s="6" t="s">
        <v>946</v>
      </c>
      <c r="P17" s="6">
        <v>201670</v>
      </c>
    </row>
    <row r="18" spans="1:16" s="6" customFormat="1" x14ac:dyDescent="0.25">
      <c r="A18" s="6" t="s">
        <v>243</v>
      </c>
      <c r="B18" s="6" t="s">
        <v>24</v>
      </c>
      <c r="C18" s="6" t="s">
        <v>1316</v>
      </c>
      <c r="D18" s="6" t="s">
        <v>1317</v>
      </c>
      <c r="E18" s="6" t="s">
        <v>30</v>
      </c>
      <c r="F18" s="6">
        <v>49.012999999999899</v>
      </c>
      <c r="G18" s="6" t="s">
        <v>21</v>
      </c>
      <c r="H18" s="6">
        <v>1.43</v>
      </c>
      <c r="I18" s="6">
        <v>0</v>
      </c>
      <c r="J18" s="6">
        <v>0.03</v>
      </c>
      <c r="K18" s="6">
        <v>1.47</v>
      </c>
      <c r="L18" s="6">
        <v>70.09</v>
      </c>
      <c r="M18" s="6">
        <v>1.51</v>
      </c>
      <c r="N18" s="6">
        <v>74.010000000000005</v>
      </c>
      <c r="O18" s="6" t="s">
        <v>1318</v>
      </c>
      <c r="P18" s="6">
        <v>170230</v>
      </c>
    </row>
    <row r="19" spans="1:16" s="6" customFormat="1" x14ac:dyDescent="0.25">
      <c r="A19" s="6" t="s">
        <v>243</v>
      </c>
      <c r="B19" s="6" t="s">
        <v>17</v>
      </c>
      <c r="C19" s="6" t="s">
        <v>1278</v>
      </c>
      <c r="D19" s="6" t="s">
        <v>1279</v>
      </c>
      <c r="E19" s="6" t="s">
        <v>20</v>
      </c>
      <c r="F19" s="6">
        <v>46.570999999999898</v>
      </c>
      <c r="G19" s="6" t="s">
        <v>21</v>
      </c>
      <c r="H19" s="6">
        <v>1.72</v>
      </c>
      <c r="I19" s="6">
        <v>0</v>
      </c>
      <c r="J19" s="6">
        <v>0.02</v>
      </c>
      <c r="K19" s="6">
        <v>0.93</v>
      </c>
      <c r="L19" s="6">
        <v>80.099999999999994</v>
      </c>
      <c r="M19" s="6">
        <v>1.82</v>
      </c>
      <c r="N19" s="6">
        <v>84.76</v>
      </c>
      <c r="O19" s="6" t="s">
        <v>1319</v>
      </c>
      <c r="P19" s="6">
        <v>415468</v>
      </c>
    </row>
    <row r="20" spans="1:16" s="6" customFormat="1" x14ac:dyDescent="0.25">
      <c r="A20" s="6" t="s">
        <v>243</v>
      </c>
      <c r="B20" s="6" t="s">
        <v>17</v>
      </c>
      <c r="C20" s="6" t="s">
        <v>1293</v>
      </c>
      <c r="D20" s="6" t="s">
        <v>1294</v>
      </c>
      <c r="E20" s="6" t="s">
        <v>20</v>
      </c>
      <c r="F20" s="6">
        <v>65.912000000000006</v>
      </c>
      <c r="G20" s="6" t="s">
        <v>21</v>
      </c>
      <c r="H20" s="6">
        <v>1.72</v>
      </c>
      <c r="I20" s="6">
        <v>0</v>
      </c>
      <c r="J20" s="6">
        <v>0.02</v>
      </c>
      <c r="K20" s="6">
        <v>1.32</v>
      </c>
      <c r="L20" s="6">
        <v>113.37</v>
      </c>
      <c r="M20" s="6">
        <v>1.82</v>
      </c>
      <c r="N20" s="6">
        <v>119.96</v>
      </c>
      <c r="O20" s="6" t="s">
        <v>265</v>
      </c>
      <c r="P20" s="6">
        <v>88986</v>
      </c>
    </row>
    <row r="21" spans="1:16" s="6" customFormat="1" x14ac:dyDescent="0.25">
      <c r="A21" s="6" t="s">
        <v>243</v>
      </c>
      <c r="B21" s="6" t="s">
        <v>576</v>
      </c>
      <c r="C21" s="6" t="s">
        <v>1302</v>
      </c>
      <c r="D21" s="6" t="s">
        <v>1303</v>
      </c>
      <c r="E21" s="6" t="s">
        <v>20</v>
      </c>
      <c r="F21" s="6">
        <v>65.191999999999894</v>
      </c>
      <c r="G21" s="6" t="s">
        <v>21</v>
      </c>
      <c r="H21" s="6">
        <v>1.72</v>
      </c>
      <c r="I21" s="6">
        <v>0</v>
      </c>
      <c r="J21" s="6">
        <v>0.02</v>
      </c>
      <c r="K21" s="6">
        <v>1.3</v>
      </c>
      <c r="L21" s="6">
        <v>112.13</v>
      </c>
      <c r="M21" s="6">
        <v>1.82</v>
      </c>
      <c r="N21" s="6">
        <v>118.65</v>
      </c>
      <c r="O21" s="6" t="s">
        <v>1320</v>
      </c>
      <c r="P21" s="6">
        <v>237426</v>
      </c>
    </row>
    <row r="22" spans="1:16" s="6" customFormat="1" x14ac:dyDescent="0.25">
      <c r="A22" s="6" t="s">
        <v>243</v>
      </c>
      <c r="B22" s="6" t="s">
        <v>103</v>
      </c>
      <c r="C22" s="6" t="s">
        <v>1300</v>
      </c>
      <c r="D22" s="6" t="s">
        <v>1301</v>
      </c>
      <c r="E22" s="6" t="s">
        <v>20</v>
      </c>
      <c r="F22" s="6">
        <v>62.680999999999898</v>
      </c>
      <c r="G22" s="6" t="s">
        <v>21</v>
      </c>
      <c r="H22" s="6">
        <v>1.72</v>
      </c>
      <c r="I22" s="6">
        <v>0</v>
      </c>
      <c r="J22" s="6">
        <v>0.02</v>
      </c>
      <c r="K22" s="6">
        <v>1.25</v>
      </c>
      <c r="L22" s="6">
        <v>107.81</v>
      </c>
      <c r="M22" s="6">
        <v>1.82</v>
      </c>
      <c r="N22" s="6">
        <v>114.08</v>
      </c>
      <c r="O22" s="6" t="s">
        <v>604</v>
      </c>
      <c r="P22" s="6">
        <v>227741</v>
      </c>
    </row>
    <row r="23" spans="1:16" s="6" customFormat="1" x14ac:dyDescent="0.25">
      <c r="A23" s="6" t="s">
        <v>243</v>
      </c>
      <c r="B23" s="6" t="s">
        <v>458</v>
      </c>
      <c r="C23" s="6" t="s">
        <v>1281</v>
      </c>
      <c r="D23" s="6" t="s">
        <v>1282</v>
      </c>
      <c r="E23" s="6" t="s">
        <v>20</v>
      </c>
      <c r="F23" s="6">
        <v>68.191999999999894</v>
      </c>
      <c r="G23" s="6" t="s">
        <v>21</v>
      </c>
      <c r="H23" s="6">
        <v>1.72</v>
      </c>
      <c r="I23" s="6">
        <v>0</v>
      </c>
      <c r="J23" s="6">
        <v>0.02</v>
      </c>
      <c r="K23" s="6">
        <v>1.36</v>
      </c>
      <c r="L23" s="6">
        <v>117.29</v>
      </c>
      <c r="M23" s="6">
        <v>1.82</v>
      </c>
      <c r="N23" s="6">
        <v>124.11</v>
      </c>
      <c r="O23" s="6" t="s">
        <v>1321</v>
      </c>
      <c r="P23" s="6">
        <v>237605</v>
      </c>
    </row>
    <row r="24" spans="1:16" s="6" customFormat="1" x14ac:dyDescent="0.25">
      <c r="A24" s="6" t="s">
        <v>145</v>
      </c>
      <c r="B24" s="6" t="s">
        <v>237</v>
      </c>
      <c r="C24" s="6" t="s">
        <v>1287</v>
      </c>
      <c r="D24" s="6" t="s">
        <v>1288</v>
      </c>
      <c r="E24" s="6" t="s">
        <v>20</v>
      </c>
      <c r="F24" s="6">
        <v>326.56</v>
      </c>
      <c r="G24" s="6" t="s">
        <v>21</v>
      </c>
      <c r="H24" s="6">
        <v>1.72</v>
      </c>
      <c r="I24" s="6">
        <v>0</v>
      </c>
      <c r="J24" s="6">
        <v>0.02</v>
      </c>
      <c r="K24" s="6">
        <v>6.53</v>
      </c>
      <c r="L24" s="6">
        <v>561.67999999999995</v>
      </c>
      <c r="M24" s="6">
        <v>1.82</v>
      </c>
      <c r="N24" s="6">
        <v>594.34</v>
      </c>
      <c r="O24" s="6" t="s">
        <v>200</v>
      </c>
      <c r="P24" s="6">
        <v>1150</v>
      </c>
    </row>
    <row r="25" spans="1:16" s="6" customFormat="1" x14ac:dyDescent="0.25">
      <c r="A25" s="6" t="s">
        <v>145</v>
      </c>
      <c r="B25" s="6" t="s">
        <v>250</v>
      </c>
      <c r="C25" s="6" t="s">
        <v>1316</v>
      </c>
      <c r="D25" s="6" t="s">
        <v>1317</v>
      </c>
      <c r="E25" s="6" t="s">
        <v>30</v>
      </c>
      <c r="F25" s="6">
        <v>59.609000000000002</v>
      </c>
      <c r="G25" s="6" t="s">
        <v>21</v>
      </c>
      <c r="H25" s="6">
        <v>1.43</v>
      </c>
      <c r="I25" s="6">
        <v>0</v>
      </c>
      <c r="J25" s="6">
        <v>0.03</v>
      </c>
      <c r="K25" s="6">
        <v>1.79</v>
      </c>
      <c r="L25" s="6">
        <v>85.24</v>
      </c>
      <c r="M25" s="6">
        <v>1.51</v>
      </c>
      <c r="N25" s="6">
        <v>90.01</v>
      </c>
      <c r="O25" s="6" t="s">
        <v>1322</v>
      </c>
      <c r="P25" s="6">
        <v>172662</v>
      </c>
    </row>
    <row r="26" spans="1:16" s="6" customFormat="1" x14ac:dyDescent="0.25">
      <c r="A26" s="6" t="s">
        <v>145</v>
      </c>
      <c r="B26" s="6" t="s">
        <v>17</v>
      </c>
      <c r="C26" s="6" t="s">
        <v>1293</v>
      </c>
      <c r="D26" s="6" t="s">
        <v>1294</v>
      </c>
      <c r="E26" s="6" t="s">
        <v>20</v>
      </c>
      <c r="F26" s="6">
        <v>45.89</v>
      </c>
      <c r="G26" s="6" t="s">
        <v>21</v>
      </c>
      <c r="H26" s="6">
        <v>1.72</v>
      </c>
      <c r="I26" s="6">
        <v>0</v>
      </c>
      <c r="J26" s="6">
        <v>0.02</v>
      </c>
      <c r="K26" s="6">
        <v>0.92</v>
      </c>
      <c r="L26" s="6">
        <v>78.930000000000007</v>
      </c>
      <c r="M26" s="6">
        <v>1.82</v>
      </c>
      <c r="N26" s="6">
        <v>83.52</v>
      </c>
      <c r="O26" s="6" t="s">
        <v>93</v>
      </c>
      <c r="P26" s="6">
        <v>89391</v>
      </c>
    </row>
    <row r="27" spans="1:16" s="6" customFormat="1" x14ac:dyDescent="0.25">
      <c r="A27" s="6" t="s">
        <v>145</v>
      </c>
      <c r="B27" s="6" t="s">
        <v>17</v>
      </c>
      <c r="C27" s="6" t="s">
        <v>1278</v>
      </c>
      <c r="D27" s="6" t="s">
        <v>1279</v>
      </c>
      <c r="E27" s="6" t="s">
        <v>20</v>
      </c>
      <c r="F27" s="6">
        <v>42.570999999999898</v>
      </c>
      <c r="G27" s="6" t="s">
        <v>21</v>
      </c>
      <c r="H27" s="6">
        <v>1.72</v>
      </c>
      <c r="I27" s="6">
        <v>0</v>
      </c>
      <c r="J27" s="6">
        <v>0.02</v>
      </c>
      <c r="K27" s="6">
        <v>0.85</v>
      </c>
      <c r="L27" s="6">
        <v>73.22</v>
      </c>
      <c r="M27" s="6">
        <v>1.82</v>
      </c>
      <c r="N27" s="6">
        <v>77.48</v>
      </c>
      <c r="O27" s="6" t="s">
        <v>350</v>
      </c>
      <c r="P27" s="6">
        <v>415696</v>
      </c>
    </row>
    <row r="28" spans="1:16" s="6" customFormat="1" x14ac:dyDescent="0.25">
      <c r="A28" s="6" t="s">
        <v>145</v>
      </c>
      <c r="B28" s="6" t="s">
        <v>103</v>
      </c>
      <c r="C28" s="6" t="s">
        <v>520</v>
      </c>
      <c r="D28" s="6" t="s">
        <v>1277</v>
      </c>
      <c r="E28" s="6" t="s">
        <v>20</v>
      </c>
      <c r="F28" s="6">
        <v>59.598999999999897</v>
      </c>
      <c r="G28" s="6" t="s">
        <v>21</v>
      </c>
      <c r="H28" s="6">
        <v>1.72</v>
      </c>
      <c r="I28" s="6">
        <v>0</v>
      </c>
      <c r="J28" s="6">
        <v>0.02</v>
      </c>
      <c r="K28" s="6">
        <v>1.19</v>
      </c>
      <c r="L28" s="6">
        <v>102.51</v>
      </c>
      <c r="M28" s="6">
        <v>1.82</v>
      </c>
      <c r="N28" s="6">
        <v>108.47</v>
      </c>
      <c r="O28" s="6" t="s">
        <v>987</v>
      </c>
      <c r="P28" s="6">
        <v>0</v>
      </c>
    </row>
    <row r="29" spans="1:16" s="6" customFormat="1" x14ac:dyDescent="0.25">
      <c r="A29" s="6" t="s">
        <v>82</v>
      </c>
      <c r="B29" s="6" t="s">
        <v>250</v>
      </c>
      <c r="C29" s="6" t="s">
        <v>1281</v>
      </c>
      <c r="D29" s="6" t="s">
        <v>1282</v>
      </c>
      <c r="E29" s="6" t="s">
        <v>20</v>
      </c>
      <c r="F29" s="6">
        <v>55.4729999999999</v>
      </c>
      <c r="G29" s="6" t="s">
        <v>21</v>
      </c>
      <c r="H29" s="6">
        <v>1.7</v>
      </c>
      <c r="I29" s="6">
        <v>0</v>
      </c>
      <c r="J29" s="6">
        <v>0.02</v>
      </c>
      <c r="K29" s="6">
        <v>1.1100000000000001</v>
      </c>
      <c r="L29" s="6">
        <v>94.3</v>
      </c>
      <c r="M29" s="6">
        <v>1.82</v>
      </c>
      <c r="N29" s="6">
        <v>100.96</v>
      </c>
      <c r="O29" s="6" t="s">
        <v>888</v>
      </c>
      <c r="P29" s="6">
        <v>238090</v>
      </c>
    </row>
    <row r="30" spans="1:16" s="6" customFormat="1" x14ac:dyDescent="0.25">
      <c r="A30" s="6" t="s">
        <v>82</v>
      </c>
      <c r="B30" s="6" t="s">
        <v>17</v>
      </c>
      <c r="C30" s="6" t="s">
        <v>1293</v>
      </c>
      <c r="D30" s="6" t="s">
        <v>1294</v>
      </c>
      <c r="E30" s="6" t="s">
        <v>20</v>
      </c>
      <c r="F30" s="6">
        <v>42.863</v>
      </c>
      <c r="G30" s="6" t="s">
        <v>21</v>
      </c>
      <c r="H30" s="6">
        <v>1.7</v>
      </c>
      <c r="I30" s="6">
        <v>0</v>
      </c>
      <c r="J30" s="6">
        <v>0.02</v>
      </c>
      <c r="K30" s="6">
        <v>0.86</v>
      </c>
      <c r="L30" s="6">
        <v>72.87</v>
      </c>
      <c r="M30" s="6">
        <v>1.82</v>
      </c>
      <c r="N30" s="6">
        <v>78.010000000000005</v>
      </c>
      <c r="O30" s="6" t="s">
        <v>1323</v>
      </c>
      <c r="P30" s="6">
        <v>89834</v>
      </c>
    </row>
    <row r="31" spans="1:16" s="6" customFormat="1" x14ac:dyDescent="0.25">
      <c r="A31" s="6" t="s">
        <v>82</v>
      </c>
      <c r="B31" s="6" t="s">
        <v>95</v>
      </c>
      <c r="C31" s="6" t="s">
        <v>1283</v>
      </c>
      <c r="D31" s="6" t="s">
        <v>1284</v>
      </c>
      <c r="E31" s="6" t="s">
        <v>20</v>
      </c>
      <c r="F31" s="6">
        <v>59.863</v>
      </c>
      <c r="G31" s="6" t="s">
        <v>21</v>
      </c>
      <c r="H31" s="6">
        <v>1.7</v>
      </c>
      <c r="I31" s="6">
        <v>0</v>
      </c>
      <c r="J31" s="6">
        <v>0.02</v>
      </c>
      <c r="K31" s="6">
        <v>1.2</v>
      </c>
      <c r="L31" s="6">
        <v>101.77</v>
      </c>
      <c r="M31" s="6">
        <v>1.82</v>
      </c>
      <c r="N31" s="6">
        <v>108.95</v>
      </c>
      <c r="O31" s="6" t="s">
        <v>1324</v>
      </c>
      <c r="P31" s="6">
        <v>184645</v>
      </c>
    </row>
    <row r="32" spans="1:16" s="6" customFormat="1" x14ac:dyDescent="0.25">
      <c r="A32" s="6" t="s">
        <v>16</v>
      </c>
      <c r="B32" s="6" t="s">
        <v>17</v>
      </c>
      <c r="C32" s="6" t="s">
        <v>1278</v>
      </c>
      <c r="D32" s="6" t="s">
        <v>1279</v>
      </c>
      <c r="E32" s="6" t="s">
        <v>20</v>
      </c>
      <c r="F32" s="6">
        <v>43.220999999999897</v>
      </c>
      <c r="G32" s="6" t="s">
        <v>21</v>
      </c>
      <c r="H32" s="6">
        <v>1.69</v>
      </c>
      <c r="I32" s="6">
        <v>0</v>
      </c>
      <c r="J32" s="6">
        <v>0.02</v>
      </c>
      <c r="K32" s="6">
        <v>0.86</v>
      </c>
      <c r="L32" s="6">
        <v>73.040000000000006</v>
      </c>
      <c r="M32" s="6">
        <v>1.81</v>
      </c>
      <c r="N32" s="6">
        <v>78.23</v>
      </c>
      <c r="O32" s="6" t="s">
        <v>1325</v>
      </c>
      <c r="P32" s="6">
        <v>415961</v>
      </c>
    </row>
    <row r="33" spans="1:16" s="6" customFormat="1" x14ac:dyDescent="0.25">
      <c r="A33" s="6" t="s">
        <v>16</v>
      </c>
      <c r="B33" s="6" t="s">
        <v>17</v>
      </c>
      <c r="C33" s="6" t="s">
        <v>1293</v>
      </c>
      <c r="D33" s="6" t="s">
        <v>1294</v>
      </c>
      <c r="E33" s="6" t="s">
        <v>20</v>
      </c>
      <c r="F33" s="6">
        <v>55.2869999999999</v>
      </c>
      <c r="G33" s="6" t="s">
        <v>21</v>
      </c>
      <c r="H33" s="6">
        <v>1.69</v>
      </c>
      <c r="I33" s="6">
        <v>0</v>
      </c>
      <c r="J33" s="6">
        <v>0.02</v>
      </c>
      <c r="K33" s="6">
        <v>1.1100000000000001</v>
      </c>
      <c r="L33" s="6">
        <v>93.44</v>
      </c>
      <c r="M33" s="6">
        <v>1.81</v>
      </c>
      <c r="N33" s="6">
        <v>100.07</v>
      </c>
      <c r="O33" s="6" t="s">
        <v>735</v>
      </c>
      <c r="P33" s="6">
        <v>0</v>
      </c>
    </row>
    <row r="34" spans="1:16" s="6" customFormat="1" x14ac:dyDescent="0.25">
      <c r="A34" s="6" t="s">
        <v>16</v>
      </c>
      <c r="B34" s="6" t="s">
        <v>95</v>
      </c>
      <c r="C34" s="6" t="s">
        <v>1295</v>
      </c>
      <c r="D34" s="6" t="s">
        <v>1296</v>
      </c>
      <c r="E34" s="6" t="s">
        <v>20</v>
      </c>
      <c r="F34" s="6">
        <v>73.977999999999895</v>
      </c>
      <c r="G34" s="6" t="s">
        <v>21</v>
      </c>
      <c r="H34" s="6">
        <v>1.69</v>
      </c>
      <c r="I34" s="6">
        <v>0</v>
      </c>
      <c r="J34" s="6">
        <v>0.02</v>
      </c>
      <c r="K34" s="6">
        <v>1.48</v>
      </c>
      <c r="L34" s="6">
        <v>125.02</v>
      </c>
      <c r="M34" s="6">
        <v>1.81</v>
      </c>
      <c r="N34" s="6">
        <v>133.9</v>
      </c>
      <c r="O34" s="6" t="s">
        <v>1326</v>
      </c>
      <c r="P34" s="6">
        <v>309916</v>
      </c>
    </row>
    <row r="35" spans="1:16" s="6" customFormat="1" x14ac:dyDescent="0.25">
      <c r="A35" s="6" t="s">
        <v>16</v>
      </c>
      <c r="B35" s="6" t="s">
        <v>1274</v>
      </c>
      <c r="C35" s="6" t="s">
        <v>1291</v>
      </c>
      <c r="D35" s="6" t="s">
        <v>1292</v>
      </c>
      <c r="E35" s="6" t="s">
        <v>20</v>
      </c>
      <c r="F35" s="6">
        <v>70.182000000000002</v>
      </c>
      <c r="G35" s="6" t="s">
        <v>21</v>
      </c>
      <c r="H35" s="6">
        <v>1.69</v>
      </c>
      <c r="I35" s="6">
        <v>0</v>
      </c>
      <c r="J35" s="6">
        <v>0.02</v>
      </c>
      <c r="K35" s="6">
        <v>1.4</v>
      </c>
      <c r="L35" s="6">
        <v>118.61</v>
      </c>
      <c r="M35" s="6">
        <v>1.81</v>
      </c>
      <c r="N35" s="6">
        <v>127.03</v>
      </c>
      <c r="O35" s="6" t="s">
        <v>1327</v>
      </c>
      <c r="P35" s="6">
        <v>197693</v>
      </c>
    </row>
    <row r="36" spans="1:16" s="6" customFormat="1" x14ac:dyDescent="0.25">
      <c r="A36" s="6" t="s">
        <v>86</v>
      </c>
      <c r="B36" s="6" t="s">
        <v>24</v>
      </c>
      <c r="C36" s="6" t="s">
        <v>1297</v>
      </c>
      <c r="D36" s="6" t="s">
        <v>1298</v>
      </c>
      <c r="E36" s="6" t="s">
        <v>30</v>
      </c>
      <c r="F36" s="6">
        <v>29.800999999999899</v>
      </c>
      <c r="G36" s="6" t="s">
        <v>21</v>
      </c>
      <c r="H36" s="6">
        <v>1.42</v>
      </c>
      <c r="I36" s="6">
        <v>0</v>
      </c>
      <c r="J36" s="6">
        <v>0.03</v>
      </c>
      <c r="K36" s="6">
        <v>0.89</v>
      </c>
      <c r="L36" s="6">
        <v>42.32</v>
      </c>
      <c r="M36" s="6">
        <v>1.51</v>
      </c>
      <c r="N36" s="6">
        <v>45</v>
      </c>
      <c r="O36" s="6" t="s">
        <v>843</v>
      </c>
      <c r="P36" s="6">
        <v>127804</v>
      </c>
    </row>
    <row r="37" spans="1:16" s="6" customFormat="1" x14ac:dyDescent="0.25">
      <c r="A37" s="6" t="s">
        <v>86</v>
      </c>
      <c r="B37" s="6" t="s">
        <v>17</v>
      </c>
      <c r="C37" s="6" t="s">
        <v>1278</v>
      </c>
      <c r="D37" s="6" t="s">
        <v>1279</v>
      </c>
      <c r="E37" s="6" t="s">
        <v>20</v>
      </c>
      <c r="F37" s="6">
        <v>52.972000000000001</v>
      </c>
      <c r="G37" s="6" t="s">
        <v>21</v>
      </c>
      <c r="H37" s="6">
        <v>1.69</v>
      </c>
      <c r="I37" s="6">
        <v>0</v>
      </c>
      <c r="J37" s="6">
        <v>0.02</v>
      </c>
      <c r="K37" s="6">
        <v>1.06</v>
      </c>
      <c r="L37" s="6">
        <v>89.52</v>
      </c>
      <c r="M37" s="6">
        <v>1.81</v>
      </c>
      <c r="N37" s="6">
        <v>95.88</v>
      </c>
      <c r="O37" s="6" t="s">
        <v>1271</v>
      </c>
      <c r="P37" s="6">
        <v>416245</v>
      </c>
    </row>
    <row r="38" spans="1:16" s="6" customFormat="1" x14ac:dyDescent="0.25">
      <c r="A38" s="6" t="s">
        <v>86</v>
      </c>
      <c r="B38" s="6" t="s">
        <v>1328</v>
      </c>
      <c r="C38" s="6" t="s">
        <v>1281</v>
      </c>
      <c r="D38" s="6" t="s">
        <v>1282</v>
      </c>
      <c r="E38" s="6" t="s">
        <v>20</v>
      </c>
      <c r="F38" s="6">
        <v>70.923000000000002</v>
      </c>
      <c r="G38" s="6" t="s">
        <v>21</v>
      </c>
      <c r="H38" s="6">
        <v>1.69</v>
      </c>
      <c r="I38" s="6">
        <v>0</v>
      </c>
      <c r="J38" s="6">
        <v>0.02</v>
      </c>
      <c r="K38" s="6">
        <v>1.42</v>
      </c>
      <c r="L38" s="6">
        <v>119.86</v>
      </c>
      <c r="M38" s="6">
        <v>1.81</v>
      </c>
      <c r="N38" s="6">
        <v>128.37</v>
      </c>
      <c r="O38" s="6" t="s">
        <v>1329</v>
      </c>
      <c r="P38" s="6">
        <v>238725</v>
      </c>
    </row>
    <row r="39" spans="1:16" s="6" customFormat="1" x14ac:dyDescent="0.25">
      <c r="A39" s="6" t="s">
        <v>86</v>
      </c>
      <c r="B39" s="6" t="s">
        <v>353</v>
      </c>
      <c r="C39" s="6" t="s">
        <v>1316</v>
      </c>
      <c r="D39" s="6" t="s">
        <v>1317</v>
      </c>
      <c r="E39" s="6" t="s">
        <v>30</v>
      </c>
      <c r="F39" s="6">
        <v>44.598999999999897</v>
      </c>
      <c r="G39" s="6" t="s">
        <v>21</v>
      </c>
      <c r="H39" s="6">
        <v>1.42</v>
      </c>
      <c r="I39" s="6">
        <v>0</v>
      </c>
      <c r="J39" s="6">
        <v>0.03</v>
      </c>
      <c r="K39" s="6">
        <v>1.34</v>
      </c>
      <c r="L39" s="6">
        <v>63.33</v>
      </c>
      <c r="M39" s="6">
        <v>1.52</v>
      </c>
      <c r="N39" s="6">
        <v>67.790000000000006</v>
      </c>
      <c r="O39" s="6" t="s">
        <v>505</v>
      </c>
      <c r="P39" s="6">
        <v>173075</v>
      </c>
    </row>
    <row r="40" spans="1:16" s="6" customFormat="1" x14ac:dyDescent="0.25">
      <c r="A40" s="6" t="s">
        <v>86</v>
      </c>
      <c r="B40" s="6" t="s">
        <v>281</v>
      </c>
      <c r="C40" s="6" t="s">
        <v>1291</v>
      </c>
      <c r="D40" s="6" t="s">
        <v>1292</v>
      </c>
      <c r="E40" s="6" t="s">
        <v>20</v>
      </c>
      <c r="F40" s="6">
        <v>71.302000000000007</v>
      </c>
      <c r="G40" s="6" t="s">
        <v>21</v>
      </c>
      <c r="H40" s="6">
        <v>1.69</v>
      </c>
      <c r="I40" s="6">
        <v>0</v>
      </c>
      <c r="J40" s="6">
        <v>0.02</v>
      </c>
      <c r="K40" s="6">
        <v>1.43</v>
      </c>
      <c r="L40" s="6">
        <v>120.5</v>
      </c>
      <c r="M40" s="6">
        <v>1.82</v>
      </c>
      <c r="N40" s="6">
        <v>129.77000000000001</v>
      </c>
      <c r="O40" s="6" t="s">
        <v>420</v>
      </c>
      <c r="P40" s="6">
        <v>198479</v>
      </c>
    </row>
    <row r="41" spans="1:16" s="6" customFormat="1" x14ac:dyDescent="0.25">
      <c r="A41" s="6" t="s">
        <v>86</v>
      </c>
      <c r="B41" s="6" t="s">
        <v>181</v>
      </c>
      <c r="C41" s="6" t="s">
        <v>1316</v>
      </c>
      <c r="D41" s="6" t="s">
        <v>1317</v>
      </c>
      <c r="E41" s="6" t="s">
        <v>30</v>
      </c>
      <c r="F41" s="6">
        <v>50.947000000000003</v>
      </c>
      <c r="G41" s="6" t="s">
        <v>21</v>
      </c>
      <c r="H41" s="6">
        <v>1.42</v>
      </c>
      <c r="I41" s="6">
        <v>0</v>
      </c>
      <c r="J41" s="6">
        <v>0.03</v>
      </c>
      <c r="K41" s="6">
        <v>1.53</v>
      </c>
      <c r="L41" s="6">
        <v>72.34</v>
      </c>
      <c r="M41" s="6">
        <v>1.52</v>
      </c>
      <c r="N41" s="6">
        <v>77.44</v>
      </c>
      <c r="O41" s="6" t="s">
        <v>786</v>
      </c>
      <c r="P41" s="6">
        <v>173529</v>
      </c>
    </row>
    <row r="42" spans="1:16" s="6" customFormat="1" x14ac:dyDescent="0.25">
      <c r="A42" s="6" t="s">
        <v>151</v>
      </c>
      <c r="B42" s="6" t="s">
        <v>17</v>
      </c>
      <c r="C42" s="6" t="s">
        <v>1293</v>
      </c>
      <c r="D42" s="6" t="s">
        <v>1294</v>
      </c>
      <c r="E42" s="6" t="s">
        <v>20</v>
      </c>
      <c r="F42" s="6">
        <v>65.338999999999899</v>
      </c>
      <c r="G42" s="6" t="s">
        <v>21</v>
      </c>
      <c r="H42" s="6">
        <v>1.67</v>
      </c>
      <c r="I42" s="6">
        <v>0</v>
      </c>
      <c r="J42" s="6">
        <v>0.02</v>
      </c>
      <c r="K42" s="6">
        <v>1.31</v>
      </c>
      <c r="L42" s="6">
        <v>109.12</v>
      </c>
      <c r="M42" s="6">
        <v>1.8</v>
      </c>
      <c r="N42" s="6">
        <v>117.61</v>
      </c>
      <c r="O42" s="6" t="s">
        <v>1330</v>
      </c>
      <c r="P42" s="6">
        <v>90987</v>
      </c>
    </row>
    <row r="43" spans="1:16" s="6" customFormat="1" x14ac:dyDescent="0.25">
      <c r="A43" s="6" t="s">
        <v>151</v>
      </c>
      <c r="B43" s="6" t="s">
        <v>17</v>
      </c>
      <c r="C43" s="6" t="s">
        <v>1331</v>
      </c>
      <c r="D43" s="6" t="s">
        <v>1332</v>
      </c>
      <c r="E43" s="6" t="s">
        <v>20</v>
      </c>
      <c r="F43" s="6">
        <v>331.57799999999901</v>
      </c>
      <c r="G43" s="6" t="s">
        <v>21</v>
      </c>
      <c r="H43" s="6">
        <v>1.67</v>
      </c>
      <c r="I43" s="6">
        <v>0</v>
      </c>
      <c r="J43" s="6">
        <v>0.02</v>
      </c>
      <c r="K43" s="6">
        <v>6.63</v>
      </c>
      <c r="L43" s="6">
        <v>553.74</v>
      </c>
      <c r="M43" s="6">
        <v>1.8</v>
      </c>
      <c r="N43" s="6">
        <v>596.84</v>
      </c>
      <c r="O43" s="6" t="s">
        <v>1333</v>
      </c>
      <c r="P43" s="6">
        <v>820226</v>
      </c>
    </row>
    <row r="44" spans="1:16" s="6" customFormat="1" x14ac:dyDescent="0.25">
      <c r="A44" s="6" t="s">
        <v>151</v>
      </c>
      <c r="B44" s="6" t="s">
        <v>1280</v>
      </c>
      <c r="C44" s="6" t="s">
        <v>1291</v>
      </c>
      <c r="D44" s="6" t="s">
        <v>1292</v>
      </c>
      <c r="E44" s="6" t="s">
        <v>20</v>
      </c>
      <c r="F44" s="6">
        <v>71.506</v>
      </c>
      <c r="G44" s="6" t="s">
        <v>21</v>
      </c>
      <c r="H44" s="6">
        <v>1.67</v>
      </c>
      <c r="I44" s="6">
        <v>0</v>
      </c>
      <c r="J44" s="6">
        <v>0.02</v>
      </c>
      <c r="K44" s="6">
        <v>1.43</v>
      </c>
      <c r="L44" s="6">
        <v>119.42</v>
      </c>
      <c r="M44" s="6">
        <v>1.8</v>
      </c>
      <c r="N44" s="6">
        <v>128.71</v>
      </c>
      <c r="O44" s="6" t="s">
        <v>319</v>
      </c>
      <c r="P44" s="6">
        <v>199191</v>
      </c>
    </row>
    <row r="45" spans="1:16" s="6" customFormat="1" x14ac:dyDescent="0.25">
      <c r="A45" s="6" t="s">
        <v>151</v>
      </c>
      <c r="B45" s="6" t="s">
        <v>496</v>
      </c>
      <c r="C45" s="6" t="s">
        <v>1304</v>
      </c>
      <c r="D45" s="6" t="s">
        <v>1305</v>
      </c>
      <c r="E45" s="6" t="s">
        <v>20</v>
      </c>
      <c r="F45" s="6">
        <v>69.960999999999899</v>
      </c>
      <c r="G45" s="6" t="s">
        <v>21</v>
      </c>
      <c r="H45" s="6">
        <v>1.67</v>
      </c>
      <c r="I45" s="6">
        <v>0</v>
      </c>
      <c r="J45" s="6">
        <v>0.02</v>
      </c>
      <c r="K45" s="6">
        <v>1.4</v>
      </c>
      <c r="L45" s="6">
        <v>116.83</v>
      </c>
      <c r="M45" s="6">
        <v>1.8</v>
      </c>
      <c r="N45" s="6">
        <v>125.93</v>
      </c>
      <c r="O45" s="6" t="s">
        <v>387</v>
      </c>
      <c r="P45" s="6">
        <v>75171</v>
      </c>
    </row>
    <row r="46" spans="1:16" s="6" customFormat="1" x14ac:dyDescent="0.25">
      <c r="A46" s="6" t="s">
        <v>151</v>
      </c>
      <c r="B46" s="6" t="s">
        <v>293</v>
      </c>
      <c r="C46" s="6" t="s">
        <v>1283</v>
      </c>
      <c r="D46" s="6" t="s">
        <v>1284</v>
      </c>
      <c r="E46" s="6" t="s">
        <v>20</v>
      </c>
      <c r="F46" s="6">
        <v>60.75</v>
      </c>
      <c r="G46" s="6" t="s">
        <v>21</v>
      </c>
      <c r="H46" s="6">
        <v>1.67</v>
      </c>
      <c r="I46" s="6">
        <v>0</v>
      </c>
      <c r="J46" s="6">
        <v>0.02</v>
      </c>
      <c r="K46" s="6">
        <v>1.22</v>
      </c>
      <c r="L46" s="6">
        <v>101.45</v>
      </c>
      <c r="M46" s="6">
        <v>1.8</v>
      </c>
      <c r="N46" s="6">
        <v>109.35</v>
      </c>
      <c r="O46" s="6" t="s">
        <v>746</v>
      </c>
      <c r="P46" s="6">
        <v>185139</v>
      </c>
    </row>
    <row r="47" spans="1:16" s="6" customFormat="1" x14ac:dyDescent="0.25">
      <c r="A47" s="6" t="s">
        <v>151</v>
      </c>
      <c r="B47" s="6" t="s">
        <v>467</v>
      </c>
      <c r="C47" s="6" t="s">
        <v>1289</v>
      </c>
      <c r="D47" s="6" t="s">
        <v>1290</v>
      </c>
      <c r="E47" s="6" t="s">
        <v>30</v>
      </c>
      <c r="F47" s="6">
        <v>39.457000000000001</v>
      </c>
      <c r="G47" s="6" t="s">
        <v>21</v>
      </c>
      <c r="H47" s="6">
        <v>1.42</v>
      </c>
      <c r="I47" s="6">
        <v>0</v>
      </c>
      <c r="J47" s="6">
        <v>0.03</v>
      </c>
      <c r="K47" s="6">
        <v>1.18</v>
      </c>
      <c r="L47" s="6">
        <v>56.03</v>
      </c>
      <c r="M47" s="6">
        <v>1.51</v>
      </c>
      <c r="N47" s="6">
        <v>59.58</v>
      </c>
      <c r="O47" s="6" t="s">
        <v>527</v>
      </c>
      <c r="P47" s="6">
        <v>226227</v>
      </c>
    </row>
    <row r="48" spans="1:16" s="6" customFormat="1" x14ac:dyDescent="0.25">
      <c r="A48" s="6" t="s">
        <v>151</v>
      </c>
      <c r="B48" s="6" t="s">
        <v>467</v>
      </c>
      <c r="C48" s="6" t="s">
        <v>1289</v>
      </c>
      <c r="D48" s="6" t="s">
        <v>1290</v>
      </c>
      <c r="E48" s="6" t="s">
        <v>37</v>
      </c>
      <c r="F48" s="6">
        <v>25.422000000000001</v>
      </c>
      <c r="G48" s="6" t="s">
        <v>21</v>
      </c>
      <c r="H48" s="6">
        <v>0.83</v>
      </c>
      <c r="I48" s="6">
        <v>0</v>
      </c>
      <c r="J48" s="6">
        <v>0</v>
      </c>
      <c r="L48" s="6">
        <v>21.1</v>
      </c>
      <c r="M48" s="6">
        <v>0.83</v>
      </c>
      <c r="N48" s="6">
        <v>21.1</v>
      </c>
      <c r="O48" s="6" t="s">
        <v>527</v>
      </c>
      <c r="P48" s="6">
        <v>226227</v>
      </c>
    </row>
    <row r="49" spans="1:16" s="6" customFormat="1" x14ac:dyDescent="0.25">
      <c r="A49" s="6" t="s">
        <v>151</v>
      </c>
      <c r="B49" s="6" t="s">
        <v>222</v>
      </c>
      <c r="C49" s="6" t="s">
        <v>1275</v>
      </c>
      <c r="D49" s="6" t="s">
        <v>1276</v>
      </c>
      <c r="E49" s="6" t="s">
        <v>20</v>
      </c>
      <c r="F49" s="6">
        <v>78.888999999999896</v>
      </c>
      <c r="G49" s="6" t="s">
        <v>21</v>
      </c>
      <c r="H49" s="6">
        <v>1.67</v>
      </c>
      <c r="I49" s="6">
        <v>0</v>
      </c>
      <c r="J49" s="6">
        <v>0.02</v>
      </c>
      <c r="K49" s="6">
        <v>1.58</v>
      </c>
      <c r="L49" s="6">
        <v>131.74</v>
      </c>
      <c r="M49" s="6">
        <v>1.8</v>
      </c>
      <c r="N49" s="6">
        <v>142</v>
      </c>
      <c r="O49" s="6" t="s">
        <v>1320</v>
      </c>
      <c r="P49" s="6">
        <v>202345</v>
      </c>
    </row>
    <row r="50" spans="1:16" s="6" customFormat="1" x14ac:dyDescent="0.25">
      <c r="A50" s="6" t="s">
        <v>23</v>
      </c>
      <c r="B50" s="6" t="s">
        <v>250</v>
      </c>
      <c r="C50" s="6" t="s">
        <v>1281</v>
      </c>
      <c r="D50" s="6" t="s">
        <v>1282</v>
      </c>
      <c r="E50" s="6" t="s">
        <v>20</v>
      </c>
      <c r="F50" s="6">
        <v>69.411000000000001</v>
      </c>
      <c r="G50" s="6" t="s">
        <v>21</v>
      </c>
      <c r="H50" s="6">
        <v>1.67</v>
      </c>
      <c r="I50" s="6">
        <v>0</v>
      </c>
      <c r="J50" s="6">
        <v>0.02</v>
      </c>
      <c r="K50" s="6">
        <v>1.39</v>
      </c>
      <c r="L50" s="6">
        <v>115.92</v>
      </c>
      <c r="M50" s="6">
        <v>1.8</v>
      </c>
      <c r="N50" s="6">
        <v>124.94</v>
      </c>
      <c r="O50" s="6" t="s">
        <v>1334</v>
      </c>
      <c r="P50" s="6">
        <v>239439</v>
      </c>
    </row>
    <row r="51" spans="1:16" s="6" customFormat="1" x14ac:dyDescent="0.25">
      <c r="A51" s="6" t="s">
        <v>23</v>
      </c>
      <c r="B51" s="6" t="s">
        <v>250</v>
      </c>
      <c r="C51" s="6" t="s">
        <v>1289</v>
      </c>
      <c r="D51" s="6" t="s">
        <v>1290</v>
      </c>
      <c r="E51" s="6" t="s">
        <v>30</v>
      </c>
      <c r="F51" s="6">
        <v>8.609</v>
      </c>
      <c r="G51" s="6" t="s">
        <v>21</v>
      </c>
      <c r="H51" s="6">
        <v>1.42</v>
      </c>
      <c r="I51" s="6">
        <v>0</v>
      </c>
      <c r="J51" s="6">
        <v>0.03</v>
      </c>
      <c r="K51" s="6">
        <v>0.26</v>
      </c>
      <c r="L51" s="6">
        <v>12.22</v>
      </c>
      <c r="M51" s="6">
        <v>1.51</v>
      </c>
      <c r="N51" s="6">
        <v>13</v>
      </c>
      <c r="O51" s="6" t="s">
        <v>73</v>
      </c>
      <c r="P51" s="6">
        <v>226335</v>
      </c>
    </row>
    <row r="52" spans="1:16" s="6" customFormat="1" x14ac:dyDescent="0.25">
      <c r="A52" s="6" t="s">
        <v>23</v>
      </c>
      <c r="B52" s="6" t="s">
        <v>250</v>
      </c>
      <c r="C52" s="6" t="s">
        <v>1316</v>
      </c>
      <c r="D52" s="6" t="s">
        <v>1317</v>
      </c>
      <c r="E52" s="6" t="s">
        <v>30</v>
      </c>
      <c r="F52" s="6">
        <v>59.96</v>
      </c>
      <c r="G52" s="6" t="s">
        <v>21</v>
      </c>
      <c r="H52" s="6">
        <v>1.42</v>
      </c>
      <c r="I52" s="6">
        <v>0</v>
      </c>
      <c r="J52" s="6">
        <v>0.03</v>
      </c>
      <c r="K52" s="6">
        <v>1.8</v>
      </c>
      <c r="L52" s="6">
        <v>85.14</v>
      </c>
      <c r="M52" s="6">
        <v>1.51</v>
      </c>
      <c r="N52" s="6">
        <v>90.54</v>
      </c>
      <c r="O52" s="6" t="s">
        <v>1335</v>
      </c>
      <c r="P52" s="6">
        <v>0</v>
      </c>
    </row>
    <row r="53" spans="1:16" s="6" customFormat="1" x14ac:dyDescent="0.25">
      <c r="A53" s="6" t="s">
        <v>23</v>
      </c>
      <c r="B53" s="6" t="s">
        <v>250</v>
      </c>
      <c r="C53" s="6" t="s">
        <v>1285</v>
      </c>
      <c r="D53" s="6" t="s">
        <v>1286</v>
      </c>
      <c r="E53" s="6" t="s">
        <v>30</v>
      </c>
      <c r="F53" s="6">
        <v>14.1519999999999</v>
      </c>
      <c r="G53" s="6" t="s">
        <v>21</v>
      </c>
      <c r="H53" s="6">
        <v>1.42</v>
      </c>
      <c r="I53" s="6">
        <v>0</v>
      </c>
      <c r="J53" s="6">
        <v>0.03</v>
      </c>
      <c r="K53" s="6">
        <v>0.42</v>
      </c>
      <c r="L53" s="6">
        <v>20.100000000000001</v>
      </c>
      <c r="M53" s="6">
        <v>1.51</v>
      </c>
      <c r="N53" s="6">
        <v>21.37</v>
      </c>
      <c r="O53" s="6" t="s">
        <v>1336</v>
      </c>
      <c r="P53" s="6">
        <v>236447</v>
      </c>
    </row>
    <row r="54" spans="1:16" s="6" customFormat="1" x14ac:dyDescent="0.25">
      <c r="A54" s="6" t="s">
        <v>23</v>
      </c>
      <c r="B54" s="6" t="s">
        <v>600</v>
      </c>
      <c r="C54" s="6" t="s">
        <v>1291</v>
      </c>
      <c r="D54" s="6" t="s">
        <v>1292</v>
      </c>
      <c r="E54" s="6" t="s">
        <v>20</v>
      </c>
      <c r="F54" s="6">
        <v>21.033000000000001</v>
      </c>
      <c r="G54" s="6" t="s">
        <v>21</v>
      </c>
      <c r="H54" s="6">
        <v>1.67</v>
      </c>
      <c r="I54" s="6">
        <v>0</v>
      </c>
      <c r="J54" s="6">
        <v>0.02</v>
      </c>
      <c r="K54" s="6">
        <v>0.42</v>
      </c>
      <c r="L54" s="6">
        <v>35.130000000000003</v>
      </c>
      <c r="M54" s="6">
        <v>1.8</v>
      </c>
      <c r="N54" s="6">
        <v>37.86</v>
      </c>
      <c r="O54" s="6" t="s">
        <v>397</v>
      </c>
      <c r="P54" s="6">
        <v>199393</v>
      </c>
    </row>
    <row r="55" spans="1:16" s="6" customFormat="1" x14ac:dyDescent="0.25">
      <c r="A55" s="6" t="s">
        <v>23</v>
      </c>
      <c r="B55" s="6" t="s">
        <v>24</v>
      </c>
      <c r="C55" s="6" t="s">
        <v>1302</v>
      </c>
      <c r="D55" s="6" t="s">
        <v>1303</v>
      </c>
      <c r="E55" s="6" t="s">
        <v>20</v>
      </c>
      <c r="F55" s="6">
        <v>67.278000000000006</v>
      </c>
      <c r="G55" s="6" t="s">
        <v>21</v>
      </c>
      <c r="H55" s="6">
        <v>1.67</v>
      </c>
      <c r="I55" s="6">
        <v>0</v>
      </c>
      <c r="J55" s="6">
        <v>0.02</v>
      </c>
      <c r="K55" s="6">
        <v>1.35</v>
      </c>
      <c r="L55" s="6">
        <v>112.35</v>
      </c>
      <c r="M55" s="6">
        <v>1.8</v>
      </c>
      <c r="N55" s="6">
        <v>121.1</v>
      </c>
      <c r="O55" s="6" t="s">
        <v>1337</v>
      </c>
      <c r="P55" s="6">
        <v>238011</v>
      </c>
    </row>
    <row r="56" spans="1:16" s="6" customFormat="1" x14ac:dyDescent="0.25">
      <c r="A56" s="6" t="s">
        <v>23</v>
      </c>
      <c r="B56" s="6" t="s">
        <v>24</v>
      </c>
      <c r="C56" s="6" t="s">
        <v>422</v>
      </c>
      <c r="D56" s="6" t="s">
        <v>1299</v>
      </c>
      <c r="E56" s="6" t="s">
        <v>20</v>
      </c>
      <c r="F56" s="6">
        <v>58.360999999999898</v>
      </c>
      <c r="G56" s="6" t="s">
        <v>21</v>
      </c>
      <c r="H56" s="6">
        <v>1.67</v>
      </c>
      <c r="I56" s="6">
        <v>0</v>
      </c>
      <c r="J56" s="6">
        <v>0.02</v>
      </c>
      <c r="K56" s="6">
        <v>1.17</v>
      </c>
      <c r="L56" s="6">
        <v>97.46</v>
      </c>
      <c r="M56" s="6">
        <v>1.8</v>
      </c>
      <c r="N56" s="6">
        <v>105.05</v>
      </c>
      <c r="O56" s="6" t="s">
        <v>292</v>
      </c>
      <c r="P56" s="6">
        <v>0</v>
      </c>
    </row>
    <row r="57" spans="1:16" s="6" customFormat="1" x14ac:dyDescent="0.25">
      <c r="A57" s="6" t="s">
        <v>23</v>
      </c>
      <c r="B57" s="6" t="s">
        <v>17</v>
      </c>
      <c r="C57" s="6" t="s">
        <v>1278</v>
      </c>
      <c r="D57" s="6" t="s">
        <v>1279</v>
      </c>
      <c r="E57" s="6" t="s">
        <v>20</v>
      </c>
      <c r="F57" s="6">
        <v>56.171999999999898</v>
      </c>
      <c r="G57" s="6" t="s">
        <v>21</v>
      </c>
      <c r="H57" s="6">
        <v>1.67</v>
      </c>
      <c r="I57" s="6">
        <v>0</v>
      </c>
      <c r="J57" s="6">
        <v>0.02</v>
      </c>
      <c r="K57" s="6">
        <v>1.1200000000000001</v>
      </c>
      <c r="L57" s="6">
        <v>93.81</v>
      </c>
      <c r="M57" s="6">
        <v>1.8</v>
      </c>
      <c r="N57" s="6">
        <v>101.11</v>
      </c>
      <c r="O57" s="6" t="s">
        <v>1338</v>
      </c>
      <c r="P57" s="6">
        <v>416571</v>
      </c>
    </row>
    <row r="58" spans="1:16" s="6" customFormat="1" x14ac:dyDescent="0.25">
      <c r="A58" s="6" t="s">
        <v>23</v>
      </c>
      <c r="B58" s="6" t="s">
        <v>17</v>
      </c>
      <c r="C58" s="6" t="s">
        <v>1287</v>
      </c>
      <c r="D58" s="6" t="s">
        <v>1288</v>
      </c>
      <c r="E58" s="6" t="s">
        <v>20</v>
      </c>
      <c r="F58" s="6">
        <v>359.98899999999901</v>
      </c>
      <c r="G58" s="6" t="s">
        <v>21</v>
      </c>
      <c r="H58" s="6">
        <v>1.67</v>
      </c>
      <c r="I58" s="6">
        <v>0</v>
      </c>
      <c r="J58" s="6">
        <v>0.02</v>
      </c>
      <c r="K58" s="6">
        <v>7.2</v>
      </c>
      <c r="L58" s="6">
        <v>601.17999999999995</v>
      </c>
      <c r="M58" s="6">
        <v>1.8</v>
      </c>
      <c r="N58" s="6">
        <v>647.98</v>
      </c>
      <c r="O58" s="6" t="s">
        <v>284</v>
      </c>
      <c r="P58" s="6">
        <v>2464</v>
      </c>
    </row>
    <row r="59" spans="1:16" s="6" customFormat="1" x14ac:dyDescent="0.25">
      <c r="A59" s="6" t="s">
        <v>23</v>
      </c>
      <c r="B59" s="6" t="s">
        <v>95</v>
      </c>
      <c r="C59" s="6" t="s">
        <v>1295</v>
      </c>
      <c r="D59" s="6" t="s">
        <v>1296</v>
      </c>
      <c r="E59" s="6" t="s">
        <v>20</v>
      </c>
      <c r="F59" s="6">
        <v>71.088999999999899</v>
      </c>
      <c r="G59" s="6" t="s">
        <v>21</v>
      </c>
      <c r="H59" s="6">
        <v>1.67</v>
      </c>
      <c r="I59" s="6">
        <v>0</v>
      </c>
      <c r="J59" s="6">
        <v>0.02</v>
      </c>
      <c r="K59" s="6">
        <v>1.42</v>
      </c>
      <c r="L59" s="6">
        <v>118.72</v>
      </c>
      <c r="M59" s="6">
        <v>1.8</v>
      </c>
      <c r="N59" s="6">
        <v>127.96</v>
      </c>
      <c r="O59" s="6" t="s">
        <v>1339</v>
      </c>
      <c r="P59" s="6">
        <v>310623</v>
      </c>
    </row>
    <row r="60" spans="1:16" s="6" customFormat="1" x14ac:dyDescent="0.25">
      <c r="A60" s="6" t="s">
        <v>23</v>
      </c>
      <c r="B60" s="6" t="s">
        <v>1274</v>
      </c>
      <c r="C60" s="6" t="s">
        <v>1275</v>
      </c>
      <c r="D60" s="6" t="s">
        <v>1276</v>
      </c>
      <c r="E60" s="6" t="s">
        <v>20</v>
      </c>
      <c r="F60" s="6">
        <v>70.010999999999896</v>
      </c>
      <c r="G60" s="6" t="s">
        <v>21</v>
      </c>
      <c r="H60" s="6">
        <v>1.67</v>
      </c>
      <c r="I60" s="6">
        <v>0</v>
      </c>
      <c r="J60" s="6">
        <v>0.02</v>
      </c>
      <c r="K60" s="6">
        <v>1.4</v>
      </c>
      <c r="L60" s="6">
        <v>116.92</v>
      </c>
      <c r="M60" s="6">
        <v>1.8</v>
      </c>
      <c r="N60" s="6">
        <v>126.02</v>
      </c>
      <c r="O60" s="6" t="s">
        <v>1340</v>
      </c>
      <c r="P60" s="6">
        <v>203082</v>
      </c>
    </row>
    <row r="61" spans="1:16" s="6" customFormat="1" x14ac:dyDescent="0.25">
      <c r="A61" s="6" t="s">
        <v>23</v>
      </c>
      <c r="B61" s="6" t="s">
        <v>103</v>
      </c>
      <c r="C61" s="6" t="s">
        <v>1306</v>
      </c>
      <c r="D61" s="6" t="s">
        <v>1307</v>
      </c>
      <c r="E61" s="6" t="s">
        <v>20</v>
      </c>
      <c r="F61" s="6">
        <v>77.739000000000004</v>
      </c>
      <c r="G61" s="6" t="s">
        <v>21</v>
      </c>
      <c r="H61" s="6">
        <v>1.67</v>
      </c>
      <c r="I61" s="6">
        <v>0</v>
      </c>
      <c r="J61" s="6">
        <v>0.02</v>
      </c>
      <c r="K61" s="6">
        <v>1.55</v>
      </c>
      <c r="L61" s="6">
        <v>129.82</v>
      </c>
      <c r="M61" s="6">
        <v>1.8</v>
      </c>
      <c r="N61" s="6">
        <v>139.93</v>
      </c>
      <c r="O61" s="6" t="s">
        <v>1154</v>
      </c>
      <c r="P61" s="6">
        <v>58781</v>
      </c>
    </row>
    <row r="62" spans="1:16" s="6" customFormat="1" x14ac:dyDescent="0.25">
      <c r="A62" s="6" t="s">
        <v>23</v>
      </c>
      <c r="B62" s="6" t="s">
        <v>103</v>
      </c>
      <c r="C62" s="6" t="s">
        <v>1304</v>
      </c>
      <c r="D62" s="6" t="s">
        <v>1305</v>
      </c>
      <c r="E62" s="6" t="s">
        <v>20</v>
      </c>
      <c r="F62" s="6">
        <v>19.1999999999999</v>
      </c>
      <c r="G62" s="6" t="s">
        <v>21</v>
      </c>
      <c r="H62" s="6">
        <v>1.67</v>
      </c>
      <c r="I62" s="6">
        <v>0</v>
      </c>
      <c r="J62" s="6">
        <v>0.02</v>
      </c>
      <c r="K62" s="6">
        <v>0.38</v>
      </c>
      <c r="L62" s="6">
        <v>32.06</v>
      </c>
      <c r="M62" s="6">
        <v>1.8</v>
      </c>
      <c r="N62" s="6">
        <v>34.56</v>
      </c>
      <c r="O62" s="6" t="s">
        <v>1341</v>
      </c>
      <c r="P62" s="6">
        <v>75358</v>
      </c>
    </row>
    <row r="63" spans="1:16" s="6" customFormat="1" x14ac:dyDescent="0.25">
      <c r="A63" s="6" t="s">
        <v>23</v>
      </c>
      <c r="B63" s="6" t="s">
        <v>103</v>
      </c>
      <c r="C63" s="6" t="s">
        <v>1300</v>
      </c>
      <c r="D63" s="6" t="s">
        <v>1301</v>
      </c>
      <c r="E63" s="6" t="s">
        <v>20</v>
      </c>
      <c r="F63" s="6">
        <v>21.05</v>
      </c>
      <c r="G63" s="6" t="s">
        <v>21</v>
      </c>
      <c r="H63" s="6">
        <v>1.67</v>
      </c>
      <c r="I63" s="6">
        <v>0</v>
      </c>
      <c r="J63" s="6">
        <v>0.02</v>
      </c>
      <c r="K63" s="6">
        <v>0.42</v>
      </c>
      <c r="L63" s="6">
        <v>35.15</v>
      </c>
      <c r="M63" s="6">
        <v>1.8</v>
      </c>
      <c r="N63" s="6">
        <v>37.89</v>
      </c>
      <c r="O63" s="6" t="s">
        <v>1342</v>
      </c>
      <c r="P63" s="6">
        <v>227851</v>
      </c>
    </row>
    <row r="64" spans="1:16" x14ac:dyDescent="0.25">
      <c r="F64">
        <f>SUM(F2:F63)</f>
        <v>4495.5599999999922</v>
      </c>
      <c r="L64">
        <f>SUM(L2:L63)</f>
        <v>7526.14</v>
      </c>
    </row>
    <row r="67" spans="5:6" x14ac:dyDescent="0.25">
      <c r="E67" s="6" t="s">
        <v>30</v>
      </c>
      <c r="F67" s="6">
        <v>356.14699999999999</v>
      </c>
    </row>
    <row r="68" spans="5:6" x14ac:dyDescent="0.25">
      <c r="E68" s="6" t="s">
        <v>20</v>
      </c>
      <c r="F68" s="6">
        <v>4113.991</v>
      </c>
    </row>
    <row r="69" spans="5:6" x14ac:dyDescent="0.25">
      <c r="E69" s="6" t="s">
        <v>37</v>
      </c>
      <c r="F69" s="6">
        <v>25.422000000000001</v>
      </c>
    </row>
  </sheetData>
  <autoFilter ref="A1:P64" xr:uid="{00000000-0009-0000-0000-000039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P11"/>
  <sheetViews>
    <sheetView workbookViewId="0">
      <selection activeCell="F11" sqref="F11"/>
    </sheetView>
  </sheetViews>
  <sheetFormatPr defaultRowHeight="15" x14ac:dyDescent="0.25"/>
  <cols>
    <col min="1" max="1" width="10.42578125" bestFit="1" customWidth="1"/>
    <col min="2" max="2" width="27.140625" bestFit="1" customWidth="1"/>
    <col min="3" max="3" width="8.5703125" bestFit="1" customWidth="1"/>
    <col min="4" max="4" width="18.28515625" bestFit="1" customWidth="1"/>
    <col min="5" max="5" width="16.4257812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51</v>
      </c>
      <c r="B2" s="6" t="s">
        <v>17</v>
      </c>
      <c r="C2" s="6" t="s">
        <v>1343</v>
      </c>
      <c r="D2" s="6" t="s">
        <v>1344</v>
      </c>
      <c r="E2" s="6" t="s">
        <v>20</v>
      </c>
      <c r="F2" s="6">
        <v>56.118000000000002</v>
      </c>
      <c r="G2" s="6" t="s">
        <v>21</v>
      </c>
      <c r="H2" s="6">
        <v>1.65</v>
      </c>
      <c r="I2" s="6">
        <v>0</v>
      </c>
      <c r="J2" s="6">
        <v>0</v>
      </c>
      <c r="K2" s="6">
        <v>0.17</v>
      </c>
      <c r="L2" s="6">
        <v>92.59</v>
      </c>
      <c r="M2" s="6">
        <v>1.7</v>
      </c>
      <c r="N2" s="6">
        <v>95.4</v>
      </c>
      <c r="O2" s="6" t="s">
        <v>727</v>
      </c>
      <c r="P2" s="6">
        <v>0</v>
      </c>
    </row>
    <row r="3" spans="1:16" s="6" customFormat="1" x14ac:dyDescent="0.25">
      <c r="A3" s="6" t="s">
        <v>427</v>
      </c>
      <c r="B3" s="6" t="s">
        <v>95</v>
      </c>
      <c r="C3" s="6" t="s">
        <v>1345</v>
      </c>
      <c r="D3" s="6" t="s">
        <v>1346</v>
      </c>
      <c r="E3" s="6" t="s">
        <v>20</v>
      </c>
      <c r="F3" s="6">
        <v>49.073999999999899</v>
      </c>
      <c r="G3" s="6" t="s">
        <v>21</v>
      </c>
      <c r="H3" s="6">
        <v>1.69</v>
      </c>
      <c r="I3" s="6">
        <v>0</v>
      </c>
      <c r="J3" s="6">
        <v>0.01</v>
      </c>
      <c r="K3" s="6">
        <v>0.49</v>
      </c>
      <c r="L3" s="6">
        <v>82.94</v>
      </c>
      <c r="M3" s="6">
        <v>1.76</v>
      </c>
      <c r="N3" s="6">
        <v>86.37</v>
      </c>
      <c r="O3" s="6" t="s">
        <v>728</v>
      </c>
      <c r="P3" s="6">
        <v>423545</v>
      </c>
    </row>
    <row r="4" spans="1:16" s="6" customFormat="1" x14ac:dyDescent="0.25">
      <c r="A4" s="6" t="s">
        <v>66</v>
      </c>
      <c r="B4" s="6" t="s">
        <v>17</v>
      </c>
      <c r="C4" s="6" t="s">
        <v>1347</v>
      </c>
      <c r="D4" s="6" t="s">
        <v>1348</v>
      </c>
      <c r="E4" s="6" t="s">
        <v>20</v>
      </c>
      <c r="F4" s="6">
        <v>44.582000000000001</v>
      </c>
      <c r="G4" s="6" t="s">
        <v>21</v>
      </c>
      <c r="H4" s="6">
        <v>1.73</v>
      </c>
      <c r="I4" s="6">
        <v>0</v>
      </c>
      <c r="J4" s="6">
        <v>0.02</v>
      </c>
      <c r="K4" s="6">
        <v>0.89</v>
      </c>
      <c r="L4" s="6">
        <v>77.13</v>
      </c>
      <c r="M4" s="6">
        <v>1.77</v>
      </c>
      <c r="N4" s="6">
        <v>78.91</v>
      </c>
      <c r="O4" s="6" t="s">
        <v>317</v>
      </c>
      <c r="P4" s="6">
        <v>0</v>
      </c>
    </row>
    <row r="5" spans="1:16" s="6" customFormat="1" x14ac:dyDescent="0.25">
      <c r="A5" s="6" t="s">
        <v>324</v>
      </c>
      <c r="B5" s="6" t="s">
        <v>17</v>
      </c>
      <c r="C5" s="6" t="s">
        <v>1343</v>
      </c>
      <c r="D5" s="6" t="s">
        <v>1344</v>
      </c>
      <c r="E5" s="6" t="s">
        <v>20</v>
      </c>
      <c r="F5" s="6">
        <v>62.328000000000003</v>
      </c>
      <c r="G5" s="6" t="s">
        <v>21</v>
      </c>
      <c r="H5" s="6">
        <v>1.73</v>
      </c>
      <c r="I5" s="6">
        <v>0</v>
      </c>
      <c r="J5" s="6">
        <v>0.02</v>
      </c>
      <c r="K5" s="6">
        <v>1.25</v>
      </c>
      <c r="L5" s="6">
        <v>107.83</v>
      </c>
      <c r="M5" s="6">
        <v>1.77</v>
      </c>
      <c r="N5" s="6">
        <v>110.32</v>
      </c>
      <c r="O5" s="6" t="s">
        <v>1349</v>
      </c>
      <c r="P5" s="6">
        <v>0</v>
      </c>
    </row>
    <row r="6" spans="1:16" s="6" customFormat="1" x14ac:dyDescent="0.25">
      <c r="A6" s="6" t="s">
        <v>114</v>
      </c>
      <c r="B6" s="6" t="s">
        <v>103</v>
      </c>
      <c r="C6" s="6" t="s">
        <v>1347</v>
      </c>
      <c r="D6" s="6" t="s">
        <v>1348</v>
      </c>
      <c r="E6" s="6" t="s">
        <v>20</v>
      </c>
      <c r="F6" s="6">
        <v>44.072000000000003</v>
      </c>
      <c r="G6" s="6" t="s">
        <v>21</v>
      </c>
      <c r="H6" s="6">
        <v>1.76</v>
      </c>
      <c r="I6" s="6">
        <v>0</v>
      </c>
      <c r="J6" s="6">
        <v>0.02</v>
      </c>
      <c r="K6" s="6">
        <v>0.88</v>
      </c>
      <c r="L6" s="6">
        <v>77.569999999999993</v>
      </c>
      <c r="M6" s="6">
        <v>1.8</v>
      </c>
      <c r="N6" s="6">
        <v>79.33</v>
      </c>
      <c r="O6" s="6" t="s">
        <v>1350</v>
      </c>
      <c r="P6" s="6">
        <v>0</v>
      </c>
    </row>
    <row r="7" spans="1:16" s="6" customFormat="1" x14ac:dyDescent="0.25">
      <c r="A7" s="6" t="s">
        <v>72</v>
      </c>
      <c r="B7" s="6" t="s">
        <v>17</v>
      </c>
      <c r="C7" s="6" t="s">
        <v>1343</v>
      </c>
      <c r="D7" s="6" t="s">
        <v>1344</v>
      </c>
      <c r="E7" s="6" t="s">
        <v>20</v>
      </c>
      <c r="F7" s="6">
        <v>62.511000000000003</v>
      </c>
      <c r="G7" s="6" t="s">
        <v>21</v>
      </c>
      <c r="H7" s="6">
        <v>1.73</v>
      </c>
      <c r="I7" s="6">
        <v>0</v>
      </c>
      <c r="J7" s="6">
        <v>0.02</v>
      </c>
      <c r="K7" s="6">
        <v>1.25</v>
      </c>
      <c r="L7" s="6">
        <v>108.14</v>
      </c>
      <c r="M7" s="6">
        <v>1.82</v>
      </c>
      <c r="N7" s="6">
        <v>113.77</v>
      </c>
      <c r="O7" s="6" t="s">
        <v>1250</v>
      </c>
      <c r="P7" s="6">
        <v>0</v>
      </c>
    </row>
    <row r="8" spans="1:16" s="6" customFormat="1" x14ac:dyDescent="0.25">
      <c r="A8" s="6" t="s">
        <v>72</v>
      </c>
      <c r="B8" s="6" t="s">
        <v>95</v>
      </c>
      <c r="C8" s="6" t="s">
        <v>1345</v>
      </c>
      <c r="D8" s="6" t="s">
        <v>1346</v>
      </c>
      <c r="E8" s="6" t="s">
        <v>20</v>
      </c>
      <c r="F8" s="6">
        <v>51.219999999999899</v>
      </c>
      <c r="G8" s="6" t="s">
        <v>21</v>
      </c>
      <c r="H8" s="6">
        <v>1.73</v>
      </c>
      <c r="I8" s="6">
        <v>0</v>
      </c>
      <c r="J8" s="6">
        <v>0.02</v>
      </c>
      <c r="K8" s="6">
        <v>1.02</v>
      </c>
      <c r="L8" s="6">
        <v>88.61</v>
      </c>
      <c r="M8" s="6">
        <v>1.82</v>
      </c>
      <c r="N8" s="6">
        <v>93.22</v>
      </c>
      <c r="O8" s="6" t="s">
        <v>1259</v>
      </c>
      <c r="P8" s="6">
        <v>424525</v>
      </c>
    </row>
    <row r="9" spans="1:16" s="6" customFormat="1" x14ac:dyDescent="0.25">
      <c r="A9" s="6" t="s">
        <v>243</v>
      </c>
      <c r="B9" s="6" t="s">
        <v>17</v>
      </c>
      <c r="C9" s="6" t="s">
        <v>1347</v>
      </c>
      <c r="D9" s="6" t="s">
        <v>1348</v>
      </c>
      <c r="E9" s="6" t="s">
        <v>20</v>
      </c>
      <c r="F9" s="6">
        <v>44.401000000000003</v>
      </c>
      <c r="G9" s="6" t="s">
        <v>21</v>
      </c>
      <c r="H9" s="6">
        <v>1.72</v>
      </c>
      <c r="I9" s="6">
        <v>0</v>
      </c>
      <c r="J9" s="6">
        <v>0.02</v>
      </c>
      <c r="K9" s="6">
        <v>0.89</v>
      </c>
      <c r="L9" s="6">
        <v>76.37</v>
      </c>
      <c r="M9" s="6">
        <v>1.82</v>
      </c>
      <c r="N9" s="6">
        <v>80.81</v>
      </c>
      <c r="O9" s="6" t="s">
        <v>986</v>
      </c>
      <c r="P9" s="6">
        <v>0</v>
      </c>
    </row>
    <row r="10" spans="1:16" s="6" customFormat="1" x14ac:dyDescent="0.25">
      <c r="A10" s="6" t="s">
        <v>86</v>
      </c>
      <c r="B10" s="6" t="s">
        <v>17</v>
      </c>
      <c r="C10" s="6" t="s">
        <v>1347</v>
      </c>
      <c r="D10" s="6" t="s">
        <v>1348</v>
      </c>
      <c r="E10" s="6" t="s">
        <v>20</v>
      </c>
      <c r="F10" s="6">
        <v>37.691000000000003</v>
      </c>
      <c r="G10" s="6" t="s">
        <v>21</v>
      </c>
      <c r="H10" s="6">
        <v>1.69</v>
      </c>
      <c r="I10" s="6">
        <v>0</v>
      </c>
      <c r="J10" s="6">
        <v>0.02</v>
      </c>
      <c r="K10" s="6">
        <v>0.75</v>
      </c>
      <c r="L10" s="6">
        <v>63.7</v>
      </c>
      <c r="M10" s="6">
        <v>1.81</v>
      </c>
      <c r="N10" s="6">
        <v>68.22</v>
      </c>
      <c r="O10" s="6" t="s">
        <v>1351</v>
      </c>
      <c r="P10" s="6">
        <v>0</v>
      </c>
    </row>
    <row r="11" spans="1:16" x14ac:dyDescent="0.25">
      <c r="F11">
        <f>SUM(F2:F10)</f>
        <v>451.99699999999984</v>
      </c>
      <c r="L11">
        <f>SUM(L2:L10)</f>
        <v>774.88000000000011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P114"/>
  <sheetViews>
    <sheetView topLeftCell="A85" workbookViewId="0">
      <selection activeCell="L117" sqref="L117"/>
    </sheetView>
  </sheetViews>
  <sheetFormatPr defaultRowHeight="15" x14ac:dyDescent="0.25"/>
  <cols>
    <col min="1" max="1" width="10.42578125" bestFit="1" customWidth="1"/>
    <col min="2" max="2" width="32.42578125" bestFit="1" customWidth="1"/>
    <col min="3" max="3" width="9" bestFit="1" customWidth="1"/>
    <col min="4" max="4" width="18.28515625" bestFit="1" customWidth="1"/>
    <col min="5" max="5" width="22.85546875" bestFit="1" customWidth="1"/>
    <col min="6" max="6" width="8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6" customFormat="1" x14ac:dyDescent="0.25">
      <c r="A2" s="6" t="s">
        <v>42</v>
      </c>
      <c r="B2" s="6" t="s">
        <v>600</v>
      </c>
      <c r="C2" s="6" t="s">
        <v>1352</v>
      </c>
      <c r="D2" s="6" t="s">
        <v>1353</v>
      </c>
      <c r="E2" s="6" t="s">
        <v>20</v>
      </c>
      <c r="F2" s="6">
        <v>63.029000000000003</v>
      </c>
      <c r="G2" s="6" t="s">
        <v>21</v>
      </c>
      <c r="H2" s="6">
        <v>1.65</v>
      </c>
      <c r="I2" s="6">
        <v>0</v>
      </c>
      <c r="J2" s="6">
        <v>0</v>
      </c>
      <c r="K2" s="6">
        <v>0.19</v>
      </c>
      <c r="L2" s="6">
        <v>104</v>
      </c>
      <c r="M2" s="6">
        <v>1.7</v>
      </c>
      <c r="N2" s="6">
        <v>107.15</v>
      </c>
      <c r="O2" s="6" t="s">
        <v>1354</v>
      </c>
      <c r="P2" s="6">
        <v>0</v>
      </c>
    </row>
    <row r="3" spans="1:16" s="6" customFormat="1" x14ac:dyDescent="0.25">
      <c r="A3" s="6" t="s">
        <v>42</v>
      </c>
      <c r="B3" s="6" t="s">
        <v>17</v>
      </c>
      <c r="C3" s="6" t="s">
        <v>1355</v>
      </c>
      <c r="D3" s="6" t="s">
        <v>1356</v>
      </c>
      <c r="E3" s="6" t="s">
        <v>20</v>
      </c>
      <c r="F3" s="6">
        <v>27.302</v>
      </c>
      <c r="G3" s="6" t="s">
        <v>21</v>
      </c>
      <c r="H3" s="6">
        <v>1.65</v>
      </c>
      <c r="I3" s="6">
        <v>0</v>
      </c>
      <c r="J3" s="6">
        <v>0</v>
      </c>
      <c r="K3" s="6">
        <v>0.08</v>
      </c>
      <c r="L3" s="6">
        <v>45.05</v>
      </c>
      <c r="M3" s="6">
        <v>1.69</v>
      </c>
      <c r="N3" s="6">
        <v>46.14</v>
      </c>
      <c r="O3" s="6" t="s">
        <v>866</v>
      </c>
      <c r="P3" s="6">
        <v>294138</v>
      </c>
    </row>
    <row r="4" spans="1:16" s="6" customFormat="1" x14ac:dyDescent="0.25">
      <c r="A4" s="6" t="s">
        <v>42</v>
      </c>
      <c r="B4" s="6" t="s">
        <v>353</v>
      </c>
      <c r="C4" s="6" t="s">
        <v>1357</v>
      </c>
      <c r="D4" s="6" t="s">
        <v>1358</v>
      </c>
      <c r="E4" s="6" t="s">
        <v>20</v>
      </c>
      <c r="F4" s="6">
        <v>51.74</v>
      </c>
      <c r="G4" s="6" t="s">
        <v>21</v>
      </c>
      <c r="H4" s="6">
        <v>1.65</v>
      </c>
      <c r="I4" s="6">
        <v>0</v>
      </c>
      <c r="J4" s="6">
        <v>0</v>
      </c>
      <c r="K4" s="6">
        <v>0.16</v>
      </c>
      <c r="L4" s="6">
        <v>85.37</v>
      </c>
      <c r="M4" s="6">
        <v>1.69</v>
      </c>
      <c r="N4" s="6">
        <v>87.44</v>
      </c>
      <c r="O4" s="6" t="s">
        <v>493</v>
      </c>
      <c r="P4" s="6">
        <v>0</v>
      </c>
    </row>
    <row r="5" spans="1:16" s="6" customFormat="1" x14ac:dyDescent="0.25">
      <c r="A5" s="6" t="s">
        <v>42</v>
      </c>
      <c r="B5" s="6" t="s">
        <v>496</v>
      </c>
      <c r="C5" s="6" t="s">
        <v>1359</v>
      </c>
      <c r="D5" s="6" t="s">
        <v>1360</v>
      </c>
      <c r="E5" s="6" t="s">
        <v>64</v>
      </c>
      <c r="F5" s="6">
        <v>50</v>
      </c>
      <c r="G5" s="6" t="s">
        <v>21</v>
      </c>
      <c r="H5" s="6">
        <v>1.74</v>
      </c>
      <c r="I5" s="6">
        <v>0</v>
      </c>
      <c r="J5" s="6">
        <v>0.09</v>
      </c>
      <c r="K5" s="6">
        <v>4.5</v>
      </c>
      <c r="L5" s="6">
        <v>87</v>
      </c>
      <c r="M5" s="6">
        <v>1.94</v>
      </c>
      <c r="N5" s="6">
        <v>97</v>
      </c>
      <c r="O5" s="6" t="s">
        <v>1341</v>
      </c>
      <c r="P5" s="6">
        <v>293420</v>
      </c>
    </row>
    <row r="6" spans="1:16" s="6" customFormat="1" x14ac:dyDescent="0.25">
      <c r="A6" s="6" t="s">
        <v>42</v>
      </c>
      <c r="B6" s="6" t="s">
        <v>496</v>
      </c>
      <c r="C6" s="6" t="s">
        <v>1361</v>
      </c>
      <c r="D6" s="6" t="s">
        <v>1362</v>
      </c>
      <c r="E6" s="6" t="s">
        <v>20</v>
      </c>
      <c r="F6" s="6">
        <v>43.402000000000001</v>
      </c>
      <c r="G6" s="6" t="s">
        <v>21</v>
      </c>
      <c r="H6" s="6">
        <v>1.65</v>
      </c>
      <c r="I6" s="6">
        <v>0</v>
      </c>
      <c r="J6" s="6">
        <v>0</v>
      </c>
      <c r="K6" s="6">
        <v>0.13</v>
      </c>
      <c r="L6" s="6">
        <v>71.61</v>
      </c>
      <c r="M6" s="6">
        <v>1.69</v>
      </c>
      <c r="N6" s="6">
        <v>73.349999999999994</v>
      </c>
      <c r="O6" s="6" t="s">
        <v>1245</v>
      </c>
      <c r="P6" s="6">
        <v>0</v>
      </c>
    </row>
    <row r="7" spans="1:16" s="6" customFormat="1" x14ac:dyDescent="0.25">
      <c r="A7" s="6" t="s">
        <v>42</v>
      </c>
      <c r="B7" s="6" t="s">
        <v>559</v>
      </c>
      <c r="C7" s="6" t="s">
        <v>1363</v>
      </c>
      <c r="D7" s="6" t="s">
        <v>1364</v>
      </c>
      <c r="E7" s="6" t="s">
        <v>20</v>
      </c>
      <c r="F7" s="6">
        <v>38.372999999999898</v>
      </c>
      <c r="G7" s="6" t="s">
        <v>21</v>
      </c>
      <c r="H7" s="6">
        <v>1.65</v>
      </c>
      <c r="I7" s="6">
        <v>0</v>
      </c>
      <c r="J7" s="6">
        <v>0</v>
      </c>
      <c r="K7" s="6">
        <v>0.12</v>
      </c>
      <c r="L7" s="6">
        <v>63.32</v>
      </c>
      <c r="M7" s="6">
        <v>1.69</v>
      </c>
      <c r="N7" s="6">
        <v>64.849999999999994</v>
      </c>
      <c r="O7" s="6" t="s">
        <v>1245</v>
      </c>
      <c r="P7" s="6">
        <v>855204</v>
      </c>
    </row>
    <row r="8" spans="1:16" s="6" customFormat="1" x14ac:dyDescent="0.25">
      <c r="A8" s="6" t="s">
        <v>51</v>
      </c>
      <c r="B8" s="6" t="s">
        <v>600</v>
      </c>
      <c r="C8" s="6" t="s">
        <v>1352</v>
      </c>
      <c r="D8" s="6" t="s">
        <v>1353</v>
      </c>
      <c r="E8" s="6" t="s">
        <v>20</v>
      </c>
      <c r="F8" s="6">
        <v>64.766000000000005</v>
      </c>
      <c r="G8" s="6" t="s">
        <v>21</v>
      </c>
      <c r="H8" s="6">
        <v>1.65</v>
      </c>
      <c r="I8" s="6">
        <v>0</v>
      </c>
      <c r="J8" s="6">
        <v>0</v>
      </c>
      <c r="K8" s="6">
        <v>0.19</v>
      </c>
      <c r="L8" s="6">
        <v>106.86</v>
      </c>
      <c r="M8" s="6">
        <v>1.71</v>
      </c>
      <c r="N8" s="6">
        <v>110.75</v>
      </c>
      <c r="O8" s="6" t="s">
        <v>1365</v>
      </c>
      <c r="P8" s="6">
        <v>0</v>
      </c>
    </row>
    <row r="9" spans="1:16" s="6" customFormat="1" x14ac:dyDescent="0.25">
      <c r="A9" s="6" t="s">
        <v>51</v>
      </c>
      <c r="B9" s="6" t="s">
        <v>24</v>
      </c>
      <c r="C9" s="6" t="s">
        <v>1366</v>
      </c>
      <c r="D9" s="6" t="s">
        <v>1367</v>
      </c>
      <c r="E9" s="6" t="s">
        <v>87</v>
      </c>
      <c r="F9" s="6">
        <v>77.879000000000005</v>
      </c>
      <c r="G9" s="6" t="s">
        <v>21</v>
      </c>
      <c r="H9" s="6">
        <v>1.7</v>
      </c>
      <c r="I9" s="6">
        <v>0</v>
      </c>
      <c r="J9" s="6">
        <v>0.09</v>
      </c>
      <c r="K9" s="6">
        <v>7.01</v>
      </c>
      <c r="L9" s="6">
        <v>132.38999999999999</v>
      </c>
      <c r="M9" s="6">
        <v>1.73</v>
      </c>
      <c r="N9" s="6">
        <v>134.72999999999999</v>
      </c>
      <c r="O9" s="6" t="s">
        <v>1368</v>
      </c>
      <c r="P9" s="6">
        <v>0</v>
      </c>
    </row>
    <row r="10" spans="1:16" s="6" customFormat="1" x14ac:dyDescent="0.25">
      <c r="A10" s="6" t="s">
        <v>51</v>
      </c>
      <c r="B10" s="6" t="s">
        <v>130</v>
      </c>
      <c r="C10" s="6" t="s">
        <v>1369</v>
      </c>
      <c r="D10" s="6" t="s">
        <v>1370</v>
      </c>
      <c r="E10" s="6" t="s">
        <v>20</v>
      </c>
      <c r="F10" s="6">
        <v>61.588000000000001</v>
      </c>
      <c r="G10" s="6" t="s">
        <v>21</v>
      </c>
      <c r="H10" s="6">
        <v>1.65</v>
      </c>
      <c r="I10" s="6">
        <v>0</v>
      </c>
      <c r="J10" s="6">
        <v>0</v>
      </c>
      <c r="K10" s="6">
        <v>0.18</v>
      </c>
      <c r="L10" s="6">
        <v>101.62</v>
      </c>
      <c r="M10" s="6">
        <v>1.7</v>
      </c>
      <c r="N10" s="6">
        <v>104.7</v>
      </c>
      <c r="O10" s="6" t="s">
        <v>1371</v>
      </c>
      <c r="P10" s="6">
        <v>330133</v>
      </c>
    </row>
    <row r="11" spans="1:16" s="6" customFormat="1" x14ac:dyDescent="0.25">
      <c r="A11" s="6" t="s">
        <v>51</v>
      </c>
      <c r="B11" s="6" t="s">
        <v>217</v>
      </c>
      <c r="C11" s="6" t="s">
        <v>1372</v>
      </c>
      <c r="D11" s="6" t="s">
        <v>1373</v>
      </c>
      <c r="E11" s="6" t="s">
        <v>20</v>
      </c>
      <c r="F11" s="6">
        <v>38.6</v>
      </c>
      <c r="G11" s="6" t="s">
        <v>21</v>
      </c>
      <c r="H11" s="6">
        <v>1.65</v>
      </c>
      <c r="I11" s="6">
        <v>0</v>
      </c>
      <c r="J11" s="6">
        <v>0</v>
      </c>
      <c r="K11" s="6">
        <v>0.12</v>
      </c>
      <c r="L11" s="6">
        <v>63.69</v>
      </c>
      <c r="M11" s="6">
        <v>1.7</v>
      </c>
      <c r="N11" s="6">
        <v>65.62</v>
      </c>
      <c r="O11" s="6" t="s">
        <v>1374</v>
      </c>
      <c r="P11" s="6">
        <v>393543</v>
      </c>
    </row>
    <row r="12" spans="1:16" s="6" customFormat="1" x14ac:dyDescent="0.25">
      <c r="A12" s="6" t="s">
        <v>51</v>
      </c>
      <c r="B12" s="6" t="s">
        <v>217</v>
      </c>
      <c r="C12" s="6" t="s">
        <v>1355</v>
      </c>
      <c r="D12" s="6" t="s">
        <v>1356</v>
      </c>
      <c r="E12" s="6" t="s">
        <v>20</v>
      </c>
      <c r="F12" s="6">
        <v>41.652999999999899</v>
      </c>
      <c r="G12" s="6" t="s">
        <v>21</v>
      </c>
      <c r="H12" s="6">
        <v>1.65</v>
      </c>
      <c r="I12" s="6">
        <v>0</v>
      </c>
      <c r="J12" s="6">
        <v>0</v>
      </c>
      <c r="K12" s="6">
        <v>0.12</v>
      </c>
      <c r="L12" s="6">
        <v>68.73</v>
      </c>
      <c r="M12" s="6">
        <v>1.7</v>
      </c>
      <c r="N12" s="6">
        <v>70.81</v>
      </c>
      <c r="O12" s="6" t="s">
        <v>1320</v>
      </c>
      <c r="P12" s="6">
        <v>0</v>
      </c>
    </row>
    <row r="13" spans="1:16" s="6" customFormat="1" x14ac:dyDescent="0.25">
      <c r="A13" s="6" t="s">
        <v>56</v>
      </c>
      <c r="B13" s="6" t="s">
        <v>709</v>
      </c>
      <c r="C13" s="6" t="s">
        <v>1372</v>
      </c>
      <c r="D13" s="6" t="s">
        <v>1373</v>
      </c>
      <c r="E13" s="6" t="s">
        <v>20</v>
      </c>
      <c r="F13" s="6">
        <v>43.68</v>
      </c>
      <c r="G13" s="6" t="s">
        <v>21</v>
      </c>
      <c r="H13" s="6">
        <v>1.65</v>
      </c>
      <c r="I13" s="6">
        <v>0</v>
      </c>
      <c r="J13" s="6">
        <v>0</v>
      </c>
      <c r="K13" s="6">
        <v>0.13</v>
      </c>
      <c r="L13" s="6">
        <v>72.069999999999993</v>
      </c>
      <c r="M13" s="6">
        <v>1.72</v>
      </c>
      <c r="N13" s="6">
        <v>75.13</v>
      </c>
      <c r="O13" s="6" t="s">
        <v>1375</v>
      </c>
      <c r="P13" s="6">
        <v>393582</v>
      </c>
    </row>
    <row r="14" spans="1:16" s="6" customFormat="1" x14ac:dyDescent="0.25">
      <c r="A14" s="6" t="s">
        <v>56</v>
      </c>
      <c r="B14" s="6" t="s">
        <v>130</v>
      </c>
      <c r="C14" s="6" t="s">
        <v>1376</v>
      </c>
      <c r="D14" s="6" t="s">
        <v>1377</v>
      </c>
      <c r="E14" s="6" t="s">
        <v>87</v>
      </c>
      <c r="F14" s="6">
        <v>91.682000000000002</v>
      </c>
      <c r="G14" s="6" t="s">
        <v>21</v>
      </c>
      <c r="H14" s="6">
        <v>1.7</v>
      </c>
      <c r="I14" s="6">
        <v>0</v>
      </c>
      <c r="J14" s="6">
        <v>0.09</v>
      </c>
      <c r="K14" s="6">
        <v>8.25</v>
      </c>
      <c r="L14" s="6">
        <v>155.86000000000001</v>
      </c>
      <c r="M14" s="6">
        <v>1.73</v>
      </c>
      <c r="N14" s="6">
        <v>158.61000000000001</v>
      </c>
      <c r="O14" s="6" t="s">
        <v>71</v>
      </c>
      <c r="P14" s="6">
        <v>0</v>
      </c>
    </row>
    <row r="15" spans="1:16" s="6" customFormat="1" x14ac:dyDescent="0.25">
      <c r="A15" s="6" t="s">
        <v>56</v>
      </c>
      <c r="B15" s="6" t="s">
        <v>217</v>
      </c>
      <c r="C15" s="6" t="s">
        <v>1372</v>
      </c>
      <c r="D15" s="6" t="s">
        <v>1373</v>
      </c>
      <c r="E15" s="6" t="s">
        <v>20</v>
      </c>
      <c r="F15" s="6">
        <v>29.878</v>
      </c>
      <c r="G15" s="6" t="s">
        <v>21</v>
      </c>
      <c r="H15" s="6">
        <v>1.65</v>
      </c>
      <c r="I15" s="6">
        <v>0</v>
      </c>
      <c r="J15" s="6">
        <v>0</v>
      </c>
      <c r="K15" s="6">
        <v>0.09</v>
      </c>
      <c r="L15" s="6">
        <v>49.3</v>
      </c>
      <c r="M15" s="6">
        <v>1.72</v>
      </c>
      <c r="N15" s="6">
        <v>51.39</v>
      </c>
      <c r="O15" s="6" t="s">
        <v>447</v>
      </c>
      <c r="P15" s="6">
        <v>394082</v>
      </c>
    </row>
    <row r="16" spans="1:16" s="6" customFormat="1" x14ac:dyDescent="0.25">
      <c r="A16" s="6" t="s">
        <v>56</v>
      </c>
      <c r="B16" s="6" t="s">
        <v>1378</v>
      </c>
      <c r="C16" s="6" t="s">
        <v>1357</v>
      </c>
      <c r="D16" s="6" t="s">
        <v>1358</v>
      </c>
      <c r="E16" s="6" t="s">
        <v>20</v>
      </c>
      <c r="F16" s="6">
        <v>44.587000000000003</v>
      </c>
      <c r="G16" s="6" t="s">
        <v>21</v>
      </c>
      <c r="H16" s="6">
        <v>1.65</v>
      </c>
      <c r="I16" s="6">
        <v>0</v>
      </c>
      <c r="J16" s="6">
        <v>0</v>
      </c>
      <c r="K16" s="6">
        <v>0.13</v>
      </c>
      <c r="L16" s="6">
        <v>73.569999999999993</v>
      </c>
      <c r="M16" s="6">
        <v>1.72</v>
      </c>
      <c r="N16" s="6">
        <v>76.69</v>
      </c>
      <c r="O16" s="6" t="s">
        <v>1379</v>
      </c>
      <c r="P16" s="6">
        <v>0</v>
      </c>
    </row>
    <row r="17" spans="1:16" s="6" customFormat="1" x14ac:dyDescent="0.25">
      <c r="A17" s="6" t="s">
        <v>185</v>
      </c>
      <c r="B17" s="6" t="s">
        <v>17</v>
      </c>
      <c r="C17" s="6" t="s">
        <v>1355</v>
      </c>
      <c r="D17" s="6" t="s">
        <v>1356</v>
      </c>
      <c r="E17" s="6" t="s">
        <v>20</v>
      </c>
      <c r="F17" s="6">
        <v>24.079999999999899</v>
      </c>
      <c r="G17" s="6" t="s">
        <v>21</v>
      </c>
      <c r="H17" s="6">
        <v>1.73</v>
      </c>
      <c r="I17" s="6">
        <v>0</v>
      </c>
      <c r="J17" s="6">
        <v>0.01</v>
      </c>
      <c r="K17" s="6">
        <v>0.24</v>
      </c>
      <c r="L17" s="6">
        <v>41.66</v>
      </c>
      <c r="M17" s="6">
        <v>1.76</v>
      </c>
      <c r="N17" s="6">
        <v>42.38</v>
      </c>
      <c r="O17" s="6" t="s">
        <v>1057</v>
      </c>
      <c r="P17" s="6">
        <v>294806</v>
      </c>
    </row>
    <row r="18" spans="1:16" s="6" customFormat="1" x14ac:dyDescent="0.25">
      <c r="A18" s="6" t="s">
        <v>185</v>
      </c>
      <c r="B18" s="6" t="s">
        <v>32</v>
      </c>
      <c r="C18" s="6" t="s">
        <v>1380</v>
      </c>
      <c r="D18" s="6" t="s">
        <v>1381</v>
      </c>
      <c r="E18" s="6" t="s">
        <v>64</v>
      </c>
      <c r="F18" s="6">
        <v>62.264000000000003</v>
      </c>
      <c r="G18" s="6" t="s">
        <v>21</v>
      </c>
      <c r="H18" s="6">
        <v>1.81</v>
      </c>
      <c r="I18" s="6">
        <v>0</v>
      </c>
      <c r="J18" s="6">
        <v>0.09</v>
      </c>
      <c r="K18" s="6">
        <v>5.6</v>
      </c>
      <c r="L18" s="6">
        <v>112.7</v>
      </c>
      <c r="M18" s="6">
        <v>2.0099999999999998</v>
      </c>
      <c r="N18" s="6">
        <v>125.15</v>
      </c>
      <c r="O18" s="6" t="s">
        <v>1117</v>
      </c>
      <c r="P18" s="6">
        <v>301256</v>
      </c>
    </row>
    <row r="19" spans="1:16" s="6" customFormat="1" x14ac:dyDescent="0.25">
      <c r="A19" s="6" t="s">
        <v>185</v>
      </c>
      <c r="B19" s="6" t="s">
        <v>32</v>
      </c>
      <c r="C19" s="6" t="s">
        <v>1361</v>
      </c>
      <c r="D19" s="6" t="s">
        <v>1362</v>
      </c>
      <c r="E19" s="6" t="s">
        <v>64</v>
      </c>
      <c r="F19" s="6">
        <v>55.209000000000003</v>
      </c>
      <c r="G19" s="6" t="s">
        <v>21</v>
      </c>
      <c r="H19" s="6">
        <v>1.81</v>
      </c>
      <c r="I19" s="6">
        <v>0</v>
      </c>
      <c r="J19" s="6">
        <v>0.09</v>
      </c>
      <c r="K19" s="6">
        <v>4.97</v>
      </c>
      <c r="L19" s="6">
        <v>99.93</v>
      </c>
      <c r="M19" s="6">
        <v>2.0099999999999998</v>
      </c>
      <c r="N19" s="6">
        <v>110.97</v>
      </c>
      <c r="O19" s="6" t="s">
        <v>724</v>
      </c>
      <c r="P19" s="6">
        <v>0</v>
      </c>
    </row>
    <row r="20" spans="1:16" s="6" customFormat="1" x14ac:dyDescent="0.25">
      <c r="A20" s="6" t="s">
        <v>185</v>
      </c>
      <c r="B20" s="6" t="s">
        <v>496</v>
      </c>
      <c r="C20" s="6" t="s">
        <v>1382</v>
      </c>
      <c r="D20" s="6" t="s">
        <v>1383</v>
      </c>
      <c r="E20" s="6" t="s">
        <v>64</v>
      </c>
      <c r="F20" s="6">
        <v>72.218999999999895</v>
      </c>
      <c r="G20" s="6" t="s">
        <v>21</v>
      </c>
      <c r="H20" s="6">
        <v>1.81</v>
      </c>
      <c r="I20" s="6">
        <v>0</v>
      </c>
      <c r="J20" s="6">
        <v>0.09</v>
      </c>
      <c r="K20" s="6">
        <v>6.5</v>
      </c>
      <c r="L20" s="6">
        <v>130.72</v>
      </c>
      <c r="M20" s="6">
        <v>2.0099999999999998</v>
      </c>
      <c r="N20" s="6">
        <v>145.16</v>
      </c>
      <c r="O20" s="6" t="s">
        <v>1384</v>
      </c>
      <c r="P20" s="6">
        <v>0</v>
      </c>
    </row>
    <row r="21" spans="1:16" s="6" customFormat="1" x14ac:dyDescent="0.25">
      <c r="A21" s="6" t="s">
        <v>185</v>
      </c>
      <c r="B21" s="6" t="s">
        <v>103</v>
      </c>
      <c r="C21" s="6" t="s">
        <v>1385</v>
      </c>
      <c r="D21" s="6" t="s">
        <v>1386</v>
      </c>
      <c r="E21" s="6" t="s">
        <v>20</v>
      </c>
      <c r="F21" s="6">
        <v>64.131</v>
      </c>
      <c r="G21" s="6" t="s">
        <v>21</v>
      </c>
      <c r="H21" s="6">
        <v>1.73</v>
      </c>
      <c r="I21" s="6">
        <v>0</v>
      </c>
      <c r="J21" s="6">
        <v>0.01</v>
      </c>
      <c r="K21" s="6">
        <v>0.64</v>
      </c>
      <c r="L21" s="6">
        <v>110.95</v>
      </c>
      <c r="M21" s="6">
        <v>1.76</v>
      </c>
      <c r="N21" s="6">
        <v>112.87</v>
      </c>
      <c r="O21" s="6" t="s">
        <v>774</v>
      </c>
      <c r="P21" s="6">
        <v>360635</v>
      </c>
    </row>
    <row r="22" spans="1:16" s="6" customFormat="1" x14ac:dyDescent="0.25">
      <c r="A22" s="6" t="s">
        <v>58</v>
      </c>
      <c r="B22" s="6" t="s">
        <v>1387</v>
      </c>
      <c r="C22" s="6" t="s">
        <v>1388</v>
      </c>
      <c r="D22" s="6" t="s">
        <v>1389</v>
      </c>
      <c r="E22" s="6" t="s">
        <v>20</v>
      </c>
      <c r="F22" s="6">
        <v>44.869</v>
      </c>
      <c r="G22" s="6" t="s">
        <v>21</v>
      </c>
      <c r="H22" s="6">
        <v>1.73</v>
      </c>
      <c r="I22" s="6">
        <v>0</v>
      </c>
      <c r="J22" s="6">
        <v>0.01</v>
      </c>
      <c r="K22" s="6">
        <v>0.45</v>
      </c>
      <c r="L22" s="6">
        <v>77.62</v>
      </c>
      <c r="M22" s="6">
        <v>1.76</v>
      </c>
      <c r="N22" s="6">
        <v>78.97</v>
      </c>
      <c r="O22" s="6" t="s">
        <v>1365</v>
      </c>
      <c r="P22" s="6">
        <v>0</v>
      </c>
    </row>
    <row r="23" spans="1:16" s="6" customFormat="1" x14ac:dyDescent="0.25">
      <c r="A23" s="6" t="s">
        <v>58</v>
      </c>
      <c r="B23" s="6" t="s">
        <v>130</v>
      </c>
      <c r="C23" s="6" t="s">
        <v>1390</v>
      </c>
      <c r="D23" s="6" t="s">
        <v>1391</v>
      </c>
      <c r="E23" s="6" t="s">
        <v>30</v>
      </c>
      <c r="F23" s="6">
        <v>40.152999999999899</v>
      </c>
      <c r="G23" s="6" t="s">
        <v>21</v>
      </c>
      <c r="H23" s="6">
        <v>1.43</v>
      </c>
      <c r="I23" s="6">
        <v>0</v>
      </c>
      <c r="J23" s="6">
        <v>0.03</v>
      </c>
      <c r="K23" s="6">
        <v>1.2</v>
      </c>
      <c r="L23" s="6">
        <v>57.42</v>
      </c>
      <c r="M23" s="6">
        <v>1.5</v>
      </c>
      <c r="N23" s="6">
        <v>60.23</v>
      </c>
      <c r="O23" s="6" t="s">
        <v>1392</v>
      </c>
      <c r="P23" s="6">
        <v>12395</v>
      </c>
    </row>
    <row r="24" spans="1:16" s="6" customFormat="1" x14ac:dyDescent="0.25">
      <c r="A24" s="6" t="s">
        <v>58</v>
      </c>
      <c r="B24" s="6" t="s">
        <v>130</v>
      </c>
      <c r="C24" s="6" t="s">
        <v>1393</v>
      </c>
      <c r="D24" s="6" t="s">
        <v>1394</v>
      </c>
      <c r="E24" s="6" t="s">
        <v>64</v>
      </c>
      <c r="F24" s="6">
        <v>42.468000000000004</v>
      </c>
      <c r="G24" s="6" t="s">
        <v>21</v>
      </c>
      <c r="H24" s="6">
        <v>1.81</v>
      </c>
      <c r="I24" s="6">
        <v>0</v>
      </c>
      <c r="J24" s="6">
        <v>0.09</v>
      </c>
      <c r="K24" s="6">
        <v>3.82</v>
      </c>
      <c r="L24" s="6">
        <v>76.87</v>
      </c>
      <c r="M24" s="6">
        <v>2.0099999999999998</v>
      </c>
      <c r="N24" s="6">
        <v>85.36</v>
      </c>
      <c r="O24" s="6" t="s">
        <v>668</v>
      </c>
      <c r="P24" s="6">
        <v>0</v>
      </c>
    </row>
    <row r="25" spans="1:16" s="6" customFormat="1" x14ac:dyDescent="0.25">
      <c r="A25" s="6" t="s">
        <v>111</v>
      </c>
      <c r="B25" s="6" t="s">
        <v>17</v>
      </c>
      <c r="C25" s="6" t="s">
        <v>1357</v>
      </c>
      <c r="D25" s="6" t="s">
        <v>1358</v>
      </c>
      <c r="E25" s="6" t="s">
        <v>20</v>
      </c>
      <c r="F25" s="6">
        <v>37.948999999999899</v>
      </c>
      <c r="G25" s="6" t="s">
        <v>21</v>
      </c>
      <c r="H25" s="6">
        <v>1.73</v>
      </c>
      <c r="I25" s="6">
        <v>0</v>
      </c>
      <c r="J25" s="6">
        <v>0.01</v>
      </c>
      <c r="K25" s="6">
        <v>0.38</v>
      </c>
      <c r="L25" s="6">
        <v>65.650000000000006</v>
      </c>
      <c r="M25" s="6">
        <v>1.77</v>
      </c>
      <c r="N25" s="6">
        <v>67.17</v>
      </c>
      <c r="O25" s="6" t="s">
        <v>1395</v>
      </c>
      <c r="P25" s="6">
        <v>0</v>
      </c>
    </row>
    <row r="26" spans="1:16" s="6" customFormat="1" x14ac:dyDescent="0.25">
      <c r="A26" s="6" t="s">
        <v>111</v>
      </c>
      <c r="B26" s="6" t="s">
        <v>17</v>
      </c>
      <c r="C26" s="6" t="s">
        <v>1366</v>
      </c>
      <c r="D26" s="6" t="s">
        <v>1367</v>
      </c>
      <c r="E26" s="6" t="s">
        <v>64</v>
      </c>
      <c r="F26" s="6">
        <v>24.771999999999899</v>
      </c>
      <c r="G26" s="6" t="s">
        <v>21</v>
      </c>
      <c r="H26" s="6">
        <v>1.81</v>
      </c>
      <c r="I26" s="6">
        <v>0</v>
      </c>
      <c r="J26" s="6">
        <v>0.09</v>
      </c>
      <c r="K26" s="6">
        <v>2.23</v>
      </c>
      <c r="L26" s="6">
        <v>44.84</v>
      </c>
      <c r="M26" s="6">
        <v>2.02</v>
      </c>
      <c r="N26" s="6">
        <v>50.04</v>
      </c>
      <c r="O26" s="6" t="s">
        <v>1034</v>
      </c>
      <c r="P26" s="6">
        <v>0</v>
      </c>
    </row>
    <row r="27" spans="1:16" s="6" customFormat="1" x14ac:dyDescent="0.25">
      <c r="A27" s="6" t="s">
        <v>111</v>
      </c>
      <c r="B27" s="6" t="s">
        <v>496</v>
      </c>
      <c r="C27" s="6" t="s">
        <v>1359</v>
      </c>
      <c r="D27" s="6" t="s">
        <v>1360</v>
      </c>
      <c r="E27" s="6" t="s">
        <v>64</v>
      </c>
      <c r="F27" s="6">
        <v>35</v>
      </c>
      <c r="G27" s="6" t="s">
        <v>21</v>
      </c>
      <c r="H27" s="6">
        <v>1.81</v>
      </c>
      <c r="I27" s="6">
        <v>0</v>
      </c>
      <c r="J27" s="6">
        <v>0.09</v>
      </c>
      <c r="K27" s="6">
        <v>3.15</v>
      </c>
      <c r="L27" s="6">
        <v>63.35</v>
      </c>
      <c r="M27" s="6">
        <v>2.02</v>
      </c>
      <c r="N27" s="6">
        <v>70.7</v>
      </c>
      <c r="O27" s="6" t="s">
        <v>979</v>
      </c>
      <c r="P27" s="6">
        <v>0</v>
      </c>
    </row>
    <row r="28" spans="1:16" s="6" customFormat="1" x14ac:dyDescent="0.25">
      <c r="A28" s="6" t="s">
        <v>111</v>
      </c>
      <c r="B28" s="6" t="s">
        <v>130</v>
      </c>
      <c r="C28" s="6" t="s">
        <v>1366</v>
      </c>
      <c r="D28" s="6" t="s">
        <v>1367</v>
      </c>
      <c r="E28" s="6" t="s">
        <v>64</v>
      </c>
      <c r="F28" s="6">
        <v>24.751999999999899</v>
      </c>
      <c r="G28" s="6" t="s">
        <v>21</v>
      </c>
      <c r="H28" s="6">
        <v>1.81</v>
      </c>
      <c r="I28" s="6">
        <v>0</v>
      </c>
      <c r="J28" s="6">
        <v>0.09</v>
      </c>
      <c r="K28" s="6">
        <v>2.23</v>
      </c>
      <c r="L28" s="6">
        <v>44.8</v>
      </c>
      <c r="M28" s="6">
        <v>2.02</v>
      </c>
      <c r="N28" s="6">
        <v>50</v>
      </c>
      <c r="O28" s="6" t="s">
        <v>61</v>
      </c>
      <c r="P28" s="6">
        <v>0</v>
      </c>
    </row>
    <row r="29" spans="1:16" s="6" customFormat="1" x14ac:dyDescent="0.25">
      <c r="A29" s="6" t="s">
        <v>111</v>
      </c>
      <c r="B29" s="6" t="s">
        <v>181</v>
      </c>
      <c r="C29" s="6" t="s">
        <v>1357</v>
      </c>
      <c r="D29" s="6" t="s">
        <v>1358</v>
      </c>
      <c r="E29" s="6" t="s">
        <v>20</v>
      </c>
      <c r="F29" s="6">
        <v>35.558999999999898</v>
      </c>
      <c r="G29" s="6" t="s">
        <v>21</v>
      </c>
      <c r="H29" s="6">
        <v>1.73</v>
      </c>
      <c r="I29" s="6">
        <v>0</v>
      </c>
      <c r="J29" s="6">
        <v>0.01</v>
      </c>
      <c r="K29" s="6">
        <v>0.36</v>
      </c>
      <c r="L29" s="6">
        <v>61.52</v>
      </c>
      <c r="M29" s="6">
        <v>1.77</v>
      </c>
      <c r="N29" s="6">
        <v>62.94</v>
      </c>
      <c r="O29" s="6" t="s">
        <v>1396</v>
      </c>
      <c r="P29" s="6">
        <v>0</v>
      </c>
    </row>
    <row r="30" spans="1:16" s="6" customFormat="1" x14ac:dyDescent="0.25">
      <c r="A30" s="6" t="s">
        <v>66</v>
      </c>
      <c r="B30" s="6" t="s">
        <v>1209</v>
      </c>
      <c r="C30" s="6" t="s">
        <v>1357</v>
      </c>
      <c r="D30" s="6" t="s">
        <v>1358</v>
      </c>
      <c r="E30" s="6" t="s">
        <v>20</v>
      </c>
      <c r="F30" s="6">
        <v>43.598999999999897</v>
      </c>
      <c r="G30" s="6" t="s">
        <v>21</v>
      </c>
      <c r="H30" s="6">
        <v>1.73</v>
      </c>
      <c r="I30" s="6">
        <v>0</v>
      </c>
      <c r="J30" s="6">
        <v>0.02</v>
      </c>
      <c r="K30" s="6">
        <v>0.87</v>
      </c>
      <c r="L30" s="6">
        <v>75.430000000000007</v>
      </c>
      <c r="M30" s="6">
        <v>1.77</v>
      </c>
      <c r="N30" s="6">
        <v>77.17</v>
      </c>
      <c r="O30" s="6" t="s">
        <v>1397</v>
      </c>
      <c r="P30" s="6">
        <v>0</v>
      </c>
    </row>
    <row r="31" spans="1:16" s="6" customFormat="1" x14ac:dyDescent="0.25">
      <c r="A31" s="6" t="s">
        <v>66</v>
      </c>
      <c r="B31" s="6" t="s">
        <v>24</v>
      </c>
      <c r="C31" s="6" t="s">
        <v>1369</v>
      </c>
      <c r="D31" s="6" t="s">
        <v>1370</v>
      </c>
      <c r="E31" s="6" t="s">
        <v>20</v>
      </c>
      <c r="F31" s="6">
        <v>58.1069999999999</v>
      </c>
      <c r="G31" s="6" t="s">
        <v>21</v>
      </c>
      <c r="H31" s="6">
        <v>1.73</v>
      </c>
      <c r="I31" s="6">
        <v>0</v>
      </c>
      <c r="J31" s="6">
        <v>0.02</v>
      </c>
      <c r="K31" s="6">
        <v>1.1599999999999999</v>
      </c>
      <c r="L31" s="6">
        <v>100.53</v>
      </c>
      <c r="M31" s="6">
        <v>1.77</v>
      </c>
      <c r="N31" s="6">
        <v>102.85</v>
      </c>
      <c r="O31" s="6" t="s">
        <v>1398</v>
      </c>
      <c r="P31" s="6">
        <v>330672</v>
      </c>
    </row>
    <row r="32" spans="1:16" s="6" customFormat="1" x14ac:dyDescent="0.25">
      <c r="A32" s="6" t="s">
        <v>66</v>
      </c>
      <c r="B32" s="6" t="s">
        <v>17</v>
      </c>
      <c r="C32" s="6" t="s">
        <v>1399</v>
      </c>
      <c r="D32" s="6" t="s">
        <v>1400</v>
      </c>
      <c r="E32" s="6" t="s">
        <v>64</v>
      </c>
      <c r="F32" s="6">
        <v>48.658000000000001</v>
      </c>
      <c r="G32" s="6" t="s">
        <v>21</v>
      </c>
      <c r="H32" s="6">
        <v>1.84</v>
      </c>
      <c r="I32" s="6">
        <v>0</v>
      </c>
      <c r="J32" s="6">
        <v>0.09</v>
      </c>
      <c r="K32" s="6">
        <v>4.38</v>
      </c>
      <c r="L32" s="6">
        <v>89.53</v>
      </c>
      <c r="M32" s="6">
        <v>2.02</v>
      </c>
      <c r="N32" s="6">
        <v>98.29</v>
      </c>
      <c r="O32" s="6" t="s">
        <v>624</v>
      </c>
      <c r="P32" s="6">
        <v>0</v>
      </c>
    </row>
    <row r="33" spans="1:16" s="6" customFormat="1" x14ac:dyDescent="0.25">
      <c r="A33" s="6" t="s">
        <v>66</v>
      </c>
      <c r="B33" s="6" t="s">
        <v>17</v>
      </c>
      <c r="C33" s="6" t="s">
        <v>1363</v>
      </c>
      <c r="D33" s="6" t="s">
        <v>1364</v>
      </c>
      <c r="E33" s="6" t="s">
        <v>20</v>
      </c>
      <c r="F33" s="6">
        <v>52.35</v>
      </c>
      <c r="G33" s="6" t="s">
        <v>21</v>
      </c>
      <c r="H33" s="6">
        <v>1.73</v>
      </c>
      <c r="I33" s="6">
        <v>0</v>
      </c>
      <c r="J33" s="6">
        <v>0.02</v>
      </c>
      <c r="K33" s="6">
        <v>1.05</v>
      </c>
      <c r="L33" s="6">
        <v>90.57</v>
      </c>
      <c r="M33" s="6">
        <v>1.77</v>
      </c>
      <c r="N33" s="6">
        <v>92.66</v>
      </c>
      <c r="O33" s="6" t="s">
        <v>1401</v>
      </c>
      <c r="P33" s="6">
        <v>0</v>
      </c>
    </row>
    <row r="34" spans="1:16" s="6" customFormat="1" x14ac:dyDescent="0.25">
      <c r="A34" s="6" t="s">
        <v>66</v>
      </c>
      <c r="B34" s="6" t="s">
        <v>181</v>
      </c>
      <c r="C34" s="6" t="s">
        <v>1372</v>
      </c>
      <c r="D34" s="6" t="s">
        <v>1373</v>
      </c>
      <c r="E34" s="6" t="s">
        <v>20</v>
      </c>
      <c r="F34" s="6">
        <v>30.739999999999899</v>
      </c>
      <c r="G34" s="6" t="s">
        <v>21</v>
      </c>
      <c r="H34" s="6">
        <v>1.73</v>
      </c>
      <c r="I34" s="6">
        <v>0</v>
      </c>
      <c r="J34" s="6">
        <v>0.02</v>
      </c>
      <c r="K34" s="6">
        <v>0.61</v>
      </c>
      <c r="L34" s="6">
        <v>53.18</v>
      </c>
      <c r="M34" s="6">
        <v>1.77</v>
      </c>
      <c r="N34" s="6">
        <v>54.41</v>
      </c>
      <c r="O34" s="6" t="s">
        <v>1402</v>
      </c>
      <c r="P34" s="6">
        <v>395760</v>
      </c>
    </row>
    <row r="35" spans="1:16" s="6" customFormat="1" x14ac:dyDescent="0.25">
      <c r="A35" s="6" t="s">
        <v>324</v>
      </c>
      <c r="B35" s="6" t="s">
        <v>709</v>
      </c>
      <c r="C35" s="6" t="s">
        <v>1363</v>
      </c>
      <c r="D35" s="6" t="s">
        <v>1364</v>
      </c>
      <c r="E35" s="6" t="s">
        <v>20</v>
      </c>
      <c r="F35" s="6">
        <v>90.04</v>
      </c>
      <c r="G35" s="6" t="s">
        <v>21</v>
      </c>
      <c r="H35" s="6">
        <v>1.73</v>
      </c>
      <c r="I35" s="6">
        <v>0</v>
      </c>
      <c r="J35" s="6">
        <v>0.02</v>
      </c>
      <c r="K35" s="6">
        <v>1.8</v>
      </c>
      <c r="L35" s="6">
        <v>155.77000000000001</v>
      </c>
      <c r="M35" s="6">
        <v>1.77</v>
      </c>
      <c r="N35" s="6">
        <v>159.37</v>
      </c>
      <c r="O35" s="6" t="s">
        <v>1403</v>
      </c>
      <c r="P35" s="6">
        <v>0</v>
      </c>
    </row>
    <row r="36" spans="1:16" s="6" customFormat="1" x14ac:dyDescent="0.25">
      <c r="A36" s="6" t="s">
        <v>324</v>
      </c>
      <c r="B36" s="6" t="s">
        <v>17</v>
      </c>
      <c r="C36" s="6" t="s">
        <v>1355</v>
      </c>
      <c r="D36" s="6" t="s">
        <v>1356</v>
      </c>
      <c r="E36" s="6" t="s">
        <v>20</v>
      </c>
      <c r="F36" s="6">
        <v>28.367000000000001</v>
      </c>
      <c r="G36" s="6" t="s">
        <v>21</v>
      </c>
      <c r="H36" s="6">
        <v>1.73</v>
      </c>
      <c r="I36" s="6">
        <v>0</v>
      </c>
      <c r="J36" s="6">
        <v>0.02</v>
      </c>
      <c r="K36" s="6">
        <v>0.56999999999999995</v>
      </c>
      <c r="L36" s="6">
        <v>49.07</v>
      </c>
      <c r="M36" s="6">
        <v>1.77</v>
      </c>
      <c r="N36" s="6">
        <v>50.21</v>
      </c>
      <c r="O36" s="6" t="s">
        <v>927</v>
      </c>
      <c r="P36" s="6">
        <v>295083</v>
      </c>
    </row>
    <row r="37" spans="1:16" s="6" customFormat="1" x14ac:dyDescent="0.25">
      <c r="A37" s="6" t="s">
        <v>332</v>
      </c>
      <c r="B37" s="6" t="s">
        <v>496</v>
      </c>
      <c r="C37" s="6" t="s">
        <v>1366</v>
      </c>
      <c r="D37" s="6" t="s">
        <v>1367</v>
      </c>
      <c r="E37" s="6" t="s">
        <v>20</v>
      </c>
      <c r="F37" s="6">
        <v>62.457999999999899</v>
      </c>
      <c r="G37" s="6" t="s">
        <v>21</v>
      </c>
      <c r="H37" s="6">
        <v>1.73</v>
      </c>
      <c r="I37" s="6">
        <v>0</v>
      </c>
      <c r="J37" s="6">
        <v>0.02</v>
      </c>
      <c r="K37" s="6">
        <v>1.25</v>
      </c>
      <c r="L37" s="6">
        <v>108.05</v>
      </c>
      <c r="M37" s="6">
        <v>1.79</v>
      </c>
      <c r="N37" s="6">
        <v>111.8</v>
      </c>
      <c r="O37" s="6" t="s">
        <v>396</v>
      </c>
      <c r="P37" s="6">
        <v>0</v>
      </c>
    </row>
    <row r="38" spans="1:16" s="6" customFormat="1" x14ac:dyDescent="0.25">
      <c r="A38" s="6" t="s">
        <v>332</v>
      </c>
      <c r="B38" s="6" t="s">
        <v>496</v>
      </c>
      <c r="C38" s="6" t="s">
        <v>1393</v>
      </c>
      <c r="D38" s="6" t="s">
        <v>1394</v>
      </c>
      <c r="E38" s="6" t="s">
        <v>64</v>
      </c>
      <c r="F38" s="6">
        <v>65.087999999999894</v>
      </c>
      <c r="G38" s="6" t="s">
        <v>21</v>
      </c>
      <c r="H38" s="6">
        <v>1.84</v>
      </c>
      <c r="I38" s="6">
        <v>0</v>
      </c>
      <c r="J38" s="6">
        <v>0.09</v>
      </c>
      <c r="K38" s="6">
        <v>5.86</v>
      </c>
      <c r="L38" s="6">
        <v>119.76</v>
      </c>
      <c r="M38" s="6">
        <v>2.04</v>
      </c>
      <c r="N38" s="6">
        <v>132.78</v>
      </c>
      <c r="O38" s="6" t="s">
        <v>1404</v>
      </c>
      <c r="P38" s="6">
        <v>0</v>
      </c>
    </row>
    <row r="39" spans="1:16" s="6" customFormat="1" x14ac:dyDescent="0.25">
      <c r="A39" s="6" t="s">
        <v>158</v>
      </c>
      <c r="B39" s="6" t="s">
        <v>130</v>
      </c>
      <c r="C39" s="6" t="s">
        <v>1376</v>
      </c>
      <c r="D39" s="6" t="s">
        <v>1377</v>
      </c>
      <c r="E39" s="6" t="s">
        <v>87</v>
      </c>
      <c r="F39" s="6">
        <v>93.891999999999896</v>
      </c>
      <c r="G39" s="6" t="s">
        <v>21</v>
      </c>
      <c r="H39" s="6">
        <v>1.71</v>
      </c>
      <c r="I39" s="6">
        <v>0</v>
      </c>
      <c r="J39" s="6">
        <v>7.0000000000000007E-2</v>
      </c>
      <c r="K39" s="6">
        <v>6.57</v>
      </c>
      <c r="L39" s="6">
        <v>160.56</v>
      </c>
      <c r="M39" s="6">
        <v>1.76</v>
      </c>
      <c r="N39" s="6">
        <v>165.25</v>
      </c>
      <c r="O39" s="6" t="s">
        <v>1405</v>
      </c>
      <c r="P39" s="6">
        <v>0</v>
      </c>
    </row>
    <row r="40" spans="1:16" s="6" customFormat="1" x14ac:dyDescent="0.25">
      <c r="A40" s="6" t="s">
        <v>136</v>
      </c>
      <c r="B40" s="6" t="s">
        <v>24</v>
      </c>
      <c r="C40" s="6" t="s">
        <v>1369</v>
      </c>
      <c r="D40" s="6" t="s">
        <v>1370</v>
      </c>
      <c r="E40" s="6" t="s">
        <v>20</v>
      </c>
      <c r="F40" s="6">
        <v>32.453000000000003</v>
      </c>
      <c r="G40" s="6" t="s">
        <v>21</v>
      </c>
      <c r="H40" s="6">
        <v>1.76</v>
      </c>
      <c r="I40" s="6">
        <v>0</v>
      </c>
      <c r="J40" s="6">
        <v>0.02</v>
      </c>
      <c r="K40" s="6">
        <v>0.65</v>
      </c>
      <c r="L40" s="6">
        <v>57.12</v>
      </c>
      <c r="M40" s="6">
        <v>1.79</v>
      </c>
      <c r="N40" s="6">
        <v>58.09</v>
      </c>
      <c r="O40" s="6" t="s">
        <v>821</v>
      </c>
      <c r="P40" s="6">
        <v>330983</v>
      </c>
    </row>
    <row r="41" spans="1:16" s="6" customFormat="1" x14ac:dyDescent="0.25">
      <c r="A41" s="6" t="s">
        <v>136</v>
      </c>
      <c r="B41" s="6" t="s">
        <v>576</v>
      </c>
      <c r="C41" s="6" t="s">
        <v>1363</v>
      </c>
      <c r="D41" s="6" t="s">
        <v>1364</v>
      </c>
      <c r="E41" s="6" t="s">
        <v>20</v>
      </c>
      <c r="F41" s="6">
        <v>35.402000000000001</v>
      </c>
      <c r="G41" s="6" t="s">
        <v>21</v>
      </c>
      <c r="H41" s="6">
        <v>1.76</v>
      </c>
      <c r="I41" s="6">
        <v>0</v>
      </c>
      <c r="J41" s="6">
        <v>0.02</v>
      </c>
      <c r="K41" s="6">
        <v>0.71</v>
      </c>
      <c r="L41" s="6">
        <v>62.31</v>
      </c>
      <c r="M41" s="6">
        <v>1.79</v>
      </c>
      <c r="N41" s="6">
        <v>63.37</v>
      </c>
      <c r="O41" s="6" t="s">
        <v>292</v>
      </c>
      <c r="P41" s="6">
        <v>0</v>
      </c>
    </row>
    <row r="42" spans="1:16" s="6" customFormat="1" x14ac:dyDescent="0.25">
      <c r="A42" s="6" t="s">
        <v>136</v>
      </c>
      <c r="B42" s="6" t="s">
        <v>576</v>
      </c>
      <c r="C42" s="6" t="s">
        <v>1363</v>
      </c>
      <c r="D42" s="6" t="s">
        <v>1364</v>
      </c>
      <c r="E42" s="6" t="s">
        <v>257</v>
      </c>
      <c r="F42" s="6">
        <v>21.279</v>
      </c>
      <c r="G42" s="6" t="s">
        <v>21</v>
      </c>
      <c r="H42" s="6">
        <v>1.22</v>
      </c>
      <c r="I42" s="6">
        <v>0</v>
      </c>
      <c r="J42" s="6">
        <v>0</v>
      </c>
      <c r="L42" s="6">
        <v>25.96</v>
      </c>
      <c r="M42" s="6">
        <v>1.22</v>
      </c>
      <c r="N42" s="6">
        <v>25.96</v>
      </c>
      <c r="O42" s="6" t="s">
        <v>292</v>
      </c>
      <c r="P42" s="6">
        <v>0</v>
      </c>
    </row>
    <row r="43" spans="1:16" s="6" customFormat="1" x14ac:dyDescent="0.25">
      <c r="A43" s="6" t="s">
        <v>136</v>
      </c>
      <c r="B43" s="6" t="s">
        <v>467</v>
      </c>
      <c r="C43" s="6" t="s">
        <v>1352</v>
      </c>
      <c r="D43" s="6" t="s">
        <v>1353</v>
      </c>
      <c r="E43" s="6" t="s">
        <v>20</v>
      </c>
      <c r="F43" s="6">
        <v>58.151000000000003</v>
      </c>
      <c r="G43" s="6" t="s">
        <v>21</v>
      </c>
      <c r="H43" s="6">
        <v>1.76</v>
      </c>
      <c r="I43" s="6">
        <v>0</v>
      </c>
      <c r="J43" s="6">
        <v>0.02</v>
      </c>
      <c r="K43" s="6">
        <v>1.1599999999999999</v>
      </c>
      <c r="L43" s="6">
        <v>102.35</v>
      </c>
      <c r="M43" s="6">
        <v>1.79</v>
      </c>
      <c r="N43" s="6">
        <v>104.09</v>
      </c>
      <c r="O43" s="6" t="s">
        <v>457</v>
      </c>
      <c r="P43" s="6">
        <v>0</v>
      </c>
    </row>
    <row r="44" spans="1:16" s="6" customFormat="1" x14ac:dyDescent="0.25">
      <c r="A44" s="6" t="s">
        <v>136</v>
      </c>
      <c r="B44" s="6" t="s">
        <v>103</v>
      </c>
      <c r="C44" s="6" t="s">
        <v>1385</v>
      </c>
      <c r="D44" s="6" t="s">
        <v>1386</v>
      </c>
      <c r="E44" s="6" t="s">
        <v>20</v>
      </c>
      <c r="F44" s="6">
        <v>47.38</v>
      </c>
      <c r="G44" s="6" t="s">
        <v>21</v>
      </c>
      <c r="H44" s="6">
        <v>1.76</v>
      </c>
      <c r="I44" s="6">
        <v>0</v>
      </c>
      <c r="J44" s="6">
        <v>0.02</v>
      </c>
      <c r="K44" s="6">
        <v>0.95</v>
      </c>
      <c r="L44" s="6">
        <v>83.39</v>
      </c>
      <c r="M44" s="6">
        <v>1.79</v>
      </c>
      <c r="N44" s="6">
        <v>84.81</v>
      </c>
      <c r="O44" s="6" t="s">
        <v>810</v>
      </c>
      <c r="P44" s="6">
        <v>361000</v>
      </c>
    </row>
    <row r="45" spans="1:16" s="6" customFormat="1" x14ac:dyDescent="0.25">
      <c r="A45" s="6" t="s">
        <v>136</v>
      </c>
      <c r="B45" s="6" t="s">
        <v>130</v>
      </c>
      <c r="C45" s="6" t="s">
        <v>1393</v>
      </c>
      <c r="D45" s="6" t="s">
        <v>1394</v>
      </c>
      <c r="E45" s="6" t="s">
        <v>64</v>
      </c>
      <c r="F45" s="6">
        <v>67.617999999999896</v>
      </c>
      <c r="G45" s="6" t="s">
        <v>21</v>
      </c>
      <c r="H45" s="6">
        <v>1.85</v>
      </c>
      <c r="I45" s="6">
        <v>0</v>
      </c>
      <c r="J45" s="6">
        <v>0.09</v>
      </c>
      <c r="K45" s="6">
        <v>6.09</v>
      </c>
      <c r="L45" s="6">
        <v>125.09</v>
      </c>
      <c r="M45" s="6">
        <v>2.04</v>
      </c>
      <c r="N45" s="6">
        <v>137.94</v>
      </c>
      <c r="O45" s="6" t="s">
        <v>1406</v>
      </c>
      <c r="P45" s="6">
        <v>0</v>
      </c>
    </row>
    <row r="46" spans="1:16" s="6" customFormat="1" x14ac:dyDescent="0.25">
      <c r="A46" s="6" t="s">
        <v>136</v>
      </c>
      <c r="B46" s="6" t="s">
        <v>217</v>
      </c>
      <c r="C46" s="6" t="s">
        <v>1372</v>
      </c>
      <c r="D46" s="6" t="s">
        <v>1373</v>
      </c>
      <c r="E46" s="6" t="s">
        <v>20</v>
      </c>
      <c r="F46" s="6">
        <v>35.021999999999899</v>
      </c>
      <c r="G46" s="6" t="s">
        <v>21</v>
      </c>
      <c r="H46" s="6">
        <v>1.76</v>
      </c>
      <c r="I46" s="6">
        <v>0</v>
      </c>
      <c r="J46" s="6">
        <v>0.02</v>
      </c>
      <c r="K46" s="6">
        <v>0.7</v>
      </c>
      <c r="L46" s="6">
        <v>61.64</v>
      </c>
      <c r="M46" s="6">
        <v>1.79</v>
      </c>
      <c r="N46" s="6">
        <v>62.69</v>
      </c>
      <c r="O46" s="6" t="s">
        <v>902</v>
      </c>
      <c r="P46" s="6">
        <v>396738</v>
      </c>
    </row>
    <row r="47" spans="1:16" s="6" customFormat="1" x14ac:dyDescent="0.25">
      <c r="A47" s="6" t="s">
        <v>136</v>
      </c>
      <c r="B47" s="6" t="s">
        <v>217</v>
      </c>
      <c r="C47" s="6" t="s">
        <v>1372</v>
      </c>
      <c r="D47" s="6" t="s">
        <v>1373</v>
      </c>
      <c r="E47" s="6" t="s">
        <v>20</v>
      </c>
      <c r="F47" s="6">
        <v>26.972000000000001</v>
      </c>
      <c r="G47" s="6" t="s">
        <v>21</v>
      </c>
      <c r="H47" s="6">
        <v>1.76</v>
      </c>
      <c r="I47" s="6">
        <v>0</v>
      </c>
      <c r="J47" s="6">
        <v>0.02</v>
      </c>
      <c r="K47" s="6">
        <v>0.54</v>
      </c>
      <c r="L47" s="6">
        <v>47.47</v>
      </c>
      <c r="M47" s="6">
        <v>1.79</v>
      </c>
      <c r="N47" s="6">
        <v>48.28</v>
      </c>
      <c r="O47" s="6" t="s">
        <v>994</v>
      </c>
      <c r="P47" s="6">
        <v>396925</v>
      </c>
    </row>
    <row r="48" spans="1:16" s="6" customFormat="1" x14ac:dyDescent="0.25">
      <c r="A48" s="6" t="s">
        <v>114</v>
      </c>
      <c r="B48" s="6" t="s">
        <v>17</v>
      </c>
      <c r="C48" s="6" t="s">
        <v>1363</v>
      </c>
      <c r="D48" s="6" t="s">
        <v>1364</v>
      </c>
      <c r="E48" s="6" t="s">
        <v>20</v>
      </c>
      <c r="F48" s="6">
        <v>62.171999999999898</v>
      </c>
      <c r="G48" s="6" t="s">
        <v>21</v>
      </c>
      <c r="H48" s="6">
        <v>1.76</v>
      </c>
      <c r="I48" s="6">
        <v>0</v>
      </c>
      <c r="J48" s="6">
        <v>0.02</v>
      </c>
      <c r="K48" s="6">
        <v>1.24</v>
      </c>
      <c r="L48" s="6">
        <v>109.42</v>
      </c>
      <c r="M48" s="6">
        <v>1.8</v>
      </c>
      <c r="N48" s="6">
        <v>111.91</v>
      </c>
      <c r="O48" s="6" t="s">
        <v>1407</v>
      </c>
      <c r="P48" s="6">
        <v>0</v>
      </c>
    </row>
    <row r="49" spans="1:16" s="6" customFormat="1" x14ac:dyDescent="0.25">
      <c r="A49" s="6" t="s">
        <v>114</v>
      </c>
      <c r="B49" s="6" t="s">
        <v>17</v>
      </c>
      <c r="C49" s="6" t="s">
        <v>1408</v>
      </c>
      <c r="D49" s="6" t="s">
        <v>1409</v>
      </c>
      <c r="E49" s="6" t="s">
        <v>20</v>
      </c>
      <c r="F49" s="6">
        <v>57.378</v>
      </c>
      <c r="G49" s="6" t="s">
        <v>21</v>
      </c>
      <c r="H49" s="6">
        <v>1.76</v>
      </c>
      <c r="I49" s="6">
        <v>0</v>
      </c>
      <c r="J49" s="6">
        <v>0.02</v>
      </c>
      <c r="K49" s="6">
        <v>1.1499999999999999</v>
      </c>
      <c r="L49" s="6">
        <v>100.99</v>
      </c>
      <c r="M49" s="6">
        <v>1.8</v>
      </c>
      <c r="N49" s="6">
        <v>103.28</v>
      </c>
      <c r="O49" s="6" t="s">
        <v>793</v>
      </c>
      <c r="P49" s="6">
        <v>454040</v>
      </c>
    </row>
    <row r="50" spans="1:16" s="6" customFormat="1" x14ac:dyDescent="0.25">
      <c r="A50" s="6" t="s">
        <v>114</v>
      </c>
      <c r="B50" s="6" t="s">
        <v>181</v>
      </c>
      <c r="C50" s="6" t="s">
        <v>1372</v>
      </c>
      <c r="D50" s="6" t="s">
        <v>1373</v>
      </c>
      <c r="E50" s="6" t="s">
        <v>20</v>
      </c>
      <c r="F50" s="6">
        <v>28.657</v>
      </c>
      <c r="G50" s="6" t="s">
        <v>21</v>
      </c>
      <c r="H50" s="6">
        <v>1.76</v>
      </c>
      <c r="I50" s="6">
        <v>0</v>
      </c>
      <c r="J50" s="6">
        <v>0.02</v>
      </c>
      <c r="K50" s="6">
        <v>0.56999999999999995</v>
      </c>
      <c r="L50" s="6">
        <v>50.44</v>
      </c>
      <c r="M50" s="6">
        <v>1.81</v>
      </c>
      <c r="N50" s="6">
        <v>51.87</v>
      </c>
      <c r="O50" s="6" t="s">
        <v>890</v>
      </c>
      <c r="P50" s="6">
        <v>397321</v>
      </c>
    </row>
    <row r="51" spans="1:16" s="6" customFormat="1" x14ac:dyDescent="0.25">
      <c r="A51" s="6" t="s">
        <v>70</v>
      </c>
      <c r="B51" s="6" t="s">
        <v>1209</v>
      </c>
      <c r="C51" s="6" t="s">
        <v>1372</v>
      </c>
      <c r="D51" s="6" t="s">
        <v>1373</v>
      </c>
      <c r="E51" s="6" t="s">
        <v>20</v>
      </c>
      <c r="F51" s="6">
        <v>40.182000000000002</v>
      </c>
      <c r="G51" s="6" t="s">
        <v>21</v>
      </c>
      <c r="H51" s="6">
        <v>1.76</v>
      </c>
      <c r="I51" s="6">
        <v>0</v>
      </c>
      <c r="J51" s="6">
        <v>0.02</v>
      </c>
      <c r="K51" s="6">
        <v>0.8</v>
      </c>
      <c r="L51" s="6">
        <v>70.72</v>
      </c>
      <c r="M51" s="6">
        <v>1.81</v>
      </c>
      <c r="N51" s="6">
        <v>72.73</v>
      </c>
      <c r="O51" s="6" t="s">
        <v>1396</v>
      </c>
      <c r="P51" s="6">
        <v>997620</v>
      </c>
    </row>
    <row r="52" spans="1:16" s="6" customFormat="1" x14ac:dyDescent="0.25">
      <c r="A52" s="6" t="s">
        <v>70</v>
      </c>
      <c r="B52" s="6" t="s">
        <v>17</v>
      </c>
      <c r="C52" s="6" t="s">
        <v>1357</v>
      </c>
      <c r="D52" s="6" t="s">
        <v>1358</v>
      </c>
      <c r="E52" s="6" t="s">
        <v>20</v>
      </c>
      <c r="F52" s="6">
        <v>20.282</v>
      </c>
      <c r="G52" s="6" t="s">
        <v>21</v>
      </c>
      <c r="H52" s="6">
        <v>1.76</v>
      </c>
      <c r="I52" s="6">
        <v>0</v>
      </c>
      <c r="J52" s="6">
        <v>0.02</v>
      </c>
      <c r="K52" s="6">
        <v>0.41</v>
      </c>
      <c r="L52" s="6">
        <v>35.700000000000003</v>
      </c>
      <c r="M52" s="6">
        <v>1.81</v>
      </c>
      <c r="N52" s="6">
        <v>36.71</v>
      </c>
      <c r="O52" s="6" t="s">
        <v>1410</v>
      </c>
      <c r="P52" s="6">
        <v>0</v>
      </c>
    </row>
    <row r="53" spans="1:16" s="6" customFormat="1" x14ac:dyDescent="0.25">
      <c r="A53" s="6" t="s">
        <v>70</v>
      </c>
      <c r="B53" s="6" t="s">
        <v>32</v>
      </c>
      <c r="C53" s="6" t="s">
        <v>1380</v>
      </c>
      <c r="D53" s="6" t="s">
        <v>1381</v>
      </c>
      <c r="E53" s="6" t="s">
        <v>20</v>
      </c>
      <c r="F53" s="6">
        <v>63.84</v>
      </c>
      <c r="G53" s="6" t="s">
        <v>21</v>
      </c>
      <c r="H53" s="6">
        <v>1.76</v>
      </c>
      <c r="I53" s="6">
        <v>0</v>
      </c>
      <c r="J53" s="6">
        <v>0.02</v>
      </c>
      <c r="K53" s="6">
        <v>1.28</v>
      </c>
      <c r="L53" s="6">
        <v>112.36</v>
      </c>
      <c r="M53" s="6">
        <v>1.81</v>
      </c>
      <c r="N53" s="6">
        <v>115.55</v>
      </c>
      <c r="O53" s="6" t="s">
        <v>442</v>
      </c>
      <c r="P53" s="6">
        <v>301884</v>
      </c>
    </row>
    <row r="54" spans="1:16" s="6" customFormat="1" x14ac:dyDescent="0.25">
      <c r="A54" s="6" t="s">
        <v>70</v>
      </c>
      <c r="B54" s="6" t="s">
        <v>496</v>
      </c>
      <c r="C54" s="6" t="s">
        <v>1361</v>
      </c>
      <c r="D54" s="6" t="s">
        <v>1362</v>
      </c>
      <c r="E54" s="6" t="s">
        <v>64</v>
      </c>
      <c r="F54" s="6">
        <v>60.018999999999899</v>
      </c>
      <c r="G54" s="6" t="s">
        <v>21</v>
      </c>
      <c r="H54" s="6">
        <v>1.85</v>
      </c>
      <c r="I54" s="6">
        <v>0</v>
      </c>
      <c r="J54" s="6">
        <v>0.09</v>
      </c>
      <c r="K54" s="6">
        <v>5.4</v>
      </c>
      <c r="L54" s="6">
        <v>111.04</v>
      </c>
      <c r="M54" s="6">
        <v>2.06</v>
      </c>
      <c r="N54" s="6">
        <v>123.64</v>
      </c>
      <c r="O54" s="6" t="s">
        <v>803</v>
      </c>
      <c r="P54" s="6">
        <v>0</v>
      </c>
    </row>
    <row r="55" spans="1:16" s="6" customFormat="1" x14ac:dyDescent="0.25">
      <c r="A55" s="6" t="s">
        <v>70</v>
      </c>
      <c r="B55" s="6" t="s">
        <v>300</v>
      </c>
      <c r="C55" s="6" t="s">
        <v>1388</v>
      </c>
      <c r="D55" s="6" t="s">
        <v>1389</v>
      </c>
      <c r="E55" s="6" t="s">
        <v>20</v>
      </c>
      <c r="F55" s="6">
        <v>53.192</v>
      </c>
      <c r="G55" s="6" t="s">
        <v>21</v>
      </c>
      <c r="H55" s="6">
        <v>1.76</v>
      </c>
      <c r="I55" s="6">
        <v>0</v>
      </c>
      <c r="J55" s="6">
        <v>0.02</v>
      </c>
      <c r="K55" s="6">
        <v>1.06</v>
      </c>
      <c r="L55" s="6">
        <v>93.62</v>
      </c>
      <c r="M55" s="6">
        <v>1.82</v>
      </c>
      <c r="N55" s="6">
        <v>96.81</v>
      </c>
      <c r="O55" s="6" t="s">
        <v>997</v>
      </c>
      <c r="P55" s="6">
        <v>0</v>
      </c>
    </row>
    <row r="56" spans="1:16" s="6" customFormat="1" x14ac:dyDescent="0.25">
      <c r="A56" s="6" t="s">
        <v>70</v>
      </c>
      <c r="B56" s="6" t="s">
        <v>130</v>
      </c>
      <c r="C56" s="6" t="s">
        <v>1369</v>
      </c>
      <c r="D56" s="6" t="s">
        <v>1370</v>
      </c>
      <c r="E56" s="6" t="s">
        <v>20</v>
      </c>
      <c r="F56" s="6">
        <v>61.640999999999899</v>
      </c>
      <c r="G56" s="6" t="s">
        <v>21</v>
      </c>
      <c r="H56" s="6">
        <v>1.76</v>
      </c>
      <c r="I56" s="6">
        <v>0</v>
      </c>
      <c r="J56" s="6">
        <v>0.02</v>
      </c>
      <c r="K56" s="6">
        <v>1.23</v>
      </c>
      <c r="L56" s="6">
        <v>108.49</v>
      </c>
      <c r="M56" s="6">
        <v>1.81</v>
      </c>
      <c r="N56" s="6">
        <v>111.57</v>
      </c>
      <c r="O56" s="6" t="s">
        <v>601</v>
      </c>
      <c r="P56" s="6">
        <v>331573</v>
      </c>
    </row>
    <row r="57" spans="1:16" s="6" customFormat="1" x14ac:dyDescent="0.25">
      <c r="A57" s="6" t="s">
        <v>70</v>
      </c>
      <c r="B57" s="6" t="s">
        <v>217</v>
      </c>
      <c r="C57" s="6" t="s">
        <v>1363</v>
      </c>
      <c r="D57" s="6" t="s">
        <v>1364</v>
      </c>
      <c r="E57" s="6" t="s">
        <v>20</v>
      </c>
      <c r="F57" s="6">
        <v>72.989000000000004</v>
      </c>
      <c r="G57" s="6" t="s">
        <v>21</v>
      </c>
      <c r="H57" s="6">
        <v>1.76</v>
      </c>
      <c r="I57" s="6">
        <v>0</v>
      </c>
      <c r="J57" s="6">
        <v>0.02</v>
      </c>
      <c r="K57" s="6">
        <v>1.46</v>
      </c>
      <c r="L57" s="6">
        <v>128.46</v>
      </c>
      <c r="M57" s="6">
        <v>1.81</v>
      </c>
      <c r="N57" s="6">
        <v>132.11000000000001</v>
      </c>
      <c r="O57" s="6" t="s">
        <v>1375</v>
      </c>
      <c r="P57" s="6">
        <v>0</v>
      </c>
    </row>
    <row r="58" spans="1:16" s="6" customFormat="1" x14ac:dyDescent="0.25">
      <c r="A58" s="6" t="s">
        <v>70</v>
      </c>
      <c r="B58" s="6" t="s">
        <v>1378</v>
      </c>
      <c r="C58" s="6" t="s">
        <v>1357</v>
      </c>
      <c r="D58" s="6" t="s">
        <v>1358</v>
      </c>
      <c r="E58" s="6" t="s">
        <v>20</v>
      </c>
      <c r="F58" s="6">
        <v>39.591000000000001</v>
      </c>
      <c r="G58" s="6" t="s">
        <v>21</v>
      </c>
      <c r="H58" s="6">
        <v>1.76</v>
      </c>
      <c r="I58" s="6">
        <v>0</v>
      </c>
      <c r="J58" s="6">
        <v>0.02</v>
      </c>
      <c r="K58" s="6">
        <v>0.79</v>
      </c>
      <c r="L58" s="6">
        <v>69.680000000000007</v>
      </c>
      <c r="M58" s="6">
        <v>1.81</v>
      </c>
      <c r="N58" s="6">
        <v>71.66</v>
      </c>
      <c r="O58" s="6" t="s">
        <v>789</v>
      </c>
      <c r="P58" s="6">
        <v>0</v>
      </c>
    </row>
    <row r="59" spans="1:16" s="6" customFormat="1" x14ac:dyDescent="0.25">
      <c r="A59" s="6" t="s">
        <v>70</v>
      </c>
      <c r="B59" s="6" t="s">
        <v>181</v>
      </c>
      <c r="C59" s="6" t="s">
        <v>1357</v>
      </c>
      <c r="D59" s="6" t="s">
        <v>1358</v>
      </c>
      <c r="E59" s="6" t="s">
        <v>20</v>
      </c>
      <c r="F59" s="6">
        <v>34.462000000000003</v>
      </c>
      <c r="G59" s="6" t="s">
        <v>21</v>
      </c>
      <c r="H59" s="6">
        <v>1.76</v>
      </c>
      <c r="I59" s="6">
        <v>0</v>
      </c>
      <c r="J59" s="6">
        <v>0.02</v>
      </c>
      <c r="K59" s="6">
        <v>0.69</v>
      </c>
      <c r="L59" s="6">
        <v>60.65</v>
      </c>
      <c r="M59" s="6">
        <v>1.82</v>
      </c>
      <c r="N59" s="6">
        <v>62.72</v>
      </c>
      <c r="O59" s="6" t="s">
        <v>1411</v>
      </c>
      <c r="P59" s="6">
        <v>10</v>
      </c>
    </row>
    <row r="60" spans="1:16" s="6" customFormat="1" x14ac:dyDescent="0.25">
      <c r="A60" s="6" t="s">
        <v>141</v>
      </c>
      <c r="B60" s="6" t="s">
        <v>17</v>
      </c>
      <c r="C60" s="6" t="s">
        <v>1366</v>
      </c>
      <c r="D60" s="6" t="s">
        <v>1367</v>
      </c>
      <c r="E60" s="6" t="s">
        <v>20</v>
      </c>
      <c r="F60" s="6">
        <v>27.623999999999899</v>
      </c>
      <c r="G60" s="6" t="s">
        <v>21</v>
      </c>
      <c r="H60" s="6">
        <v>1.75</v>
      </c>
      <c r="I60" s="6">
        <v>0</v>
      </c>
      <c r="J60" s="6">
        <v>0.02</v>
      </c>
      <c r="K60" s="6">
        <v>0.55000000000000004</v>
      </c>
      <c r="L60" s="6">
        <v>48.34</v>
      </c>
      <c r="M60" s="6">
        <v>1.81</v>
      </c>
      <c r="N60" s="6">
        <v>50</v>
      </c>
      <c r="O60" s="6" t="s">
        <v>1071</v>
      </c>
      <c r="P60" s="6">
        <v>0</v>
      </c>
    </row>
    <row r="61" spans="1:16" s="6" customFormat="1" x14ac:dyDescent="0.25">
      <c r="A61" s="6" t="s">
        <v>141</v>
      </c>
      <c r="B61" s="6" t="s">
        <v>17</v>
      </c>
      <c r="C61" s="6" t="s">
        <v>1399</v>
      </c>
      <c r="D61" s="6" t="s">
        <v>1400</v>
      </c>
      <c r="E61" s="6" t="s">
        <v>64</v>
      </c>
      <c r="F61" s="6">
        <v>51.112000000000002</v>
      </c>
      <c r="G61" s="6" t="s">
        <v>21</v>
      </c>
      <c r="H61" s="6">
        <v>1.87</v>
      </c>
      <c r="I61" s="6">
        <v>0</v>
      </c>
      <c r="J61" s="6">
        <v>0.09</v>
      </c>
      <c r="K61" s="6">
        <v>4.5999999999999996</v>
      </c>
      <c r="L61" s="6">
        <v>95.58</v>
      </c>
      <c r="M61" s="6">
        <v>2.06</v>
      </c>
      <c r="N61" s="6">
        <v>105.29</v>
      </c>
      <c r="O61" s="6" t="s">
        <v>1412</v>
      </c>
      <c r="P61" s="6">
        <v>0</v>
      </c>
    </row>
    <row r="62" spans="1:16" s="6" customFormat="1" x14ac:dyDescent="0.25">
      <c r="A62" s="6" t="s">
        <v>141</v>
      </c>
      <c r="B62" s="6" t="s">
        <v>17</v>
      </c>
      <c r="C62" s="6" t="s">
        <v>1413</v>
      </c>
      <c r="D62" s="6" t="s">
        <v>1414</v>
      </c>
      <c r="E62" s="6" t="s">
        <v>20</v>
      </c>
      <c r="F62" s="6">
        <v>120.343</v>
      </c>
      <c r="G62" s="6" t="s">
        <v>21</v>
      </c>
      <c r="H62" s="6">
        <v>1.75</v>
      </c>
      <c r="I62" s="6">
        <v>0</v>
      </c>
      <c r="J62" s="6">
        <v>0.02</v>
      </c>
      <c r="K62" s="6">
        <v>2.41</v>
      </c>
      <c r="L62" s="6">
        <v>210.6</v>
      </c>
      <c r="M62" s="6">
        <v>1.81</v>
      </c>
      <c r="N62" s="6">
        <v>217.82</v>
      </c>
      <c r="O62" s="6" t="s">
        <v>745</v>
      </c>
      <c r="P62" s="6">
        <v>0</v>
      </c>
    </row>
    <row r="63" spans="1:16" s="6" customFormat="1" x14ac:dyDescent="0.25">
      <c r="A63" s="6" t="s">
        <v>141</v>
      </c>
      <c r="B63" s="6" t="s">
        <v>32</v>
      </c>
      <c r="C63" s="6" t="s">
        <v>1366</v>
      </c>
      <c r="D63" s="6" t="s">
        <v>1367</v>
      </c>
      <c r="E63" s="6" t="s">
        <v>87</v>
      </c>
      <c r="F63" s="6">
        <v>77.090999999999894</v>
      </c>
      <c r="G63" s="6" t="s">
        <v>21</v>
      </c>
      <c r="H63" s="6">
        <v>1.71</v>
      </c>
      <c r="I63" s="6">
        <v>0</v>
      </c>
      <c r="J63" s="6">
        <v>7.0000000000000007E-2</v>
      </c>
      <c r="K63" s="6">
        <v>5.4</v>
      </c>
      <c r="L63" s="6">
        <v>131.83000000000001</v>
      </c>
      <c r="M63" s="6">
        <v>1.76</v>
      </c>
      <c r="N63" s="6">
        <v>135.68</v>
      </c>
      <c r="O63" s="6" t="s">
        <v>1415</v>
      </c>
      <c r="P63" s="6">
        <v>0</v>
      </c>
    </row>
    <row r="64" spans="1:16" s="6" customFormat="1" x14ac:dyDescent="0.25">
      <c r="A64" s="6" t="s">
        <v>141</v>
      </c>
      <c r="B64" s="6" t="s">
        <v>281</v>
      </c>
      <c r="C64" s="6" t="s">
        <v>1357</v>
      </c>
      <c r="D64" s="6" t="s">
        <v>1358</v>
      </c>
      <c r="E64" s="6" t="s">
        <v>20</v>
      </c>
      <c r="F64" s="6">
        <v>30.0489999999999</v>
      </c>
      <c r="G64" s="6" t="s">
        <v>21</v>
      </c>
      <c r="H64" s="6">
        <v>1.75</v>
      </c>
      <c r="I64" s="6">
        <v>0</v>
      </c>
      <c r="J64" s="6">
        <v>0.02</v>
      </c>
      <c r="K64" s="6">
        <v>0.6</v>
      </c>
      <c r="L64" s="6">
        <v>52.59</v>
      </c>
      <c r="M64" s="6">
        <v>1.82</v>
      </c>
      <c r="N64" s="6">
        <v>54.69</v>
      </c>
      <c r="O64" s="6" t="s">
        <v>591</v>
      </c>
      <c r="P64" s="6">
        <v>0</v>
      </c>
    </row>
    <row r="65" spans="1:16" s="6" customFormat="1" x14ac:dyDescent="0.25">
      <c r="A65" s="6" t="s">
        <v>141</v>
      </c>
      <c r="B65" s="6" t="s">
        <v>130</v>
      </c>
      <c r="C65" s="6" t="s">
        <v>1393</v>
      </c>
      <c r="D65" s="6" t="s">
        <v>1394</v>
      </c>
      <c r="E65" s="6" t="s">
        <v>64</v>
      </c>
      <c r="F65" s="6">
        <v>25.131</v>
      </c>
      <c r="G65" s="6" t="s">
        <v>21</v>
      </c>
      <c r="H65" s="6">
        <v>1.87</v>
      </c>
      <c r="I65" s="6">
        <v>0</v>
      </c>
      <c r="J65" s="6">
        <v>0.09</v>
      </c>
      <c r="K65" s="6">
        <v>2.2599999999999998</v>
      </c>
      <c r="L65" s="6">
        <v>46.99</v>
      </c>
      <c r="M65" s="6">
        <v>2.06</v>
      </c>
      <c r="N65" s="6">
        <v>51.77</v>
      </c>
      <c r="O65" s="6" t="s">
        <v>149</v>
      </c>
      <c r="P65" s="6">
        <v>0</v>
      </c>
    </row>
    <row r="66" spans="1:16" s="6" customFormat="1" x14ac:dyDescent="0.25">
      <c r="A66" s="6" t="s">
        <v>163</v>
      </c>
      <c r="B66" s="6" t="s">
        <v>130</v>
      </c>
      <c r="C66" s="6" t="s">
        <v>1376</v>
      </c>
      <c r="D66" s="6" t="s">
        <v>1377</v>
      </c>
      <c r="E66" s="6" t="s">
        <v>87</v>
      </c>
      <c r="F66" s="6">
        <v>89.551000000000002</v>
      </c>
      <c r="G66" s="6" t="s">
        <v>21</v>
      </c>
      <c r="H66" s="6">
        <v>1.71</v>
      </c>
      <c r="I66" s="6">
        <v>0</v>
      </c>
      <c r="J66" s="6">
        <v>7.0000000000000007E-2</v>
      </c>
      <c r="K66" s="6">
        <v>6.27</v>
      </c>
      <c r="L66" s="6">
        <v>153.13</v>
      </c>
      <c r="M66" s="6">
        <v>1.76</v>
      </c>
      <c r="N66" s="6">
        <v>157.61000000000001</v>
      </c>
      <c r="O66" s="6" t="s">
        <v>1251</v>
      </c>
      <c r="P66" s="6">
        <v>0</v>
      </c>
    </row>
    <row r="67" spans="1:16" s="6" customFormat="1" x14ac:dyDescent="0.25">
      <c r="A67" s="6" t="s">
        <v>72</v>
      </c>
      <c r="B67" s="6" t="s">
        <v>24</v>
      </c>
      <c r="C67" s="6" t="s">
        <v>1393</v>
      </c>
      <c r="D67" s="6" t="s">
        <v>1394</v>
      </c>
      <c r="E67" s="6" t="s">
        <v>64</v>
      </c>
      <c r="F67" s="6">
        <v>56.71</v>
      </c>
      <c r="G67" s="6" t="s">
        <v>21</v>
      </c>
      <c r="H67" s="6">
        <v>1.87</v>
      </c>
      <c r="I67" s="6">
        <v>0</v>
      </c>
      <c r="J67" s="6">
        <v>0.09</v>
      </c>
      <c r="K67" s="6">
        <v>5.0999999999999996</v>
      </c>
      <c r="L67" s="6">
        <v>106.05</v>
      </c>
      <c r="M67" s="6">
        <v>2.0699999999999998</v>
      </c>
      <c r="N67" s="6">
        <v>117.39</v>
      </c>
      <c r="O67" s="6" t="s">
        <v>347</v>
      </c>
      <c r="P67" s="6">
        <v>0</v>
      </c>
    </row>
    <row r="68" spans="1:16" s="6" customFormat="1" x14ac:dyDescent="0.25">
      <c r="A68" s="6" t="s">
        <v>72</v>
      </c>
      <c r="B68" s="6" t="s">
        <v>17</v>
      </c>
      <c r="C68" s="6" t="s">
        <v>1355</v>
      </c>
      <c r="D68" s="6" t="s">
        <v>1356</v>
      </c>
      <c r="E68" s="6" t="s">
        <v>20</v>
      </c>
      <c r="F68" s="6">
        <v>23.4729999999999</v>
      </c>
      <c r="G68" s="6" t="s">
        <v>21</v>
      </c>
      <c r="H68" s="6">
        <v>1.73</v>
      </c>
      <c r="I68" s="6">
        <v>0</v>
      </c>
      <c r="J68" s="6">
        <v>0.02</v>
      </c>
      <c r="K68" s="6">
        <v>0.47</v>
      </c>
      <c r="L68" s="6">
        <v>40.61</v>
      </c>
      <c r="M68" s="6">
        <v>1.82</v>
      </c>
      <c r="N68" s="6">
        <v>42.72</v>
      </c>
      <c r="O68" s="6" t="s">
        <v>544</v>
      </c>
      <c r="P68" s="6">
        <v>295310</v>
      </c>
    </row>
    <row r="69" spans="1:16" s="6" customFormat="1" x14ac:dyDescent="0.25">
      <c r="A69" s="6" t="s">
        <v>77</v>
      </c>
      <c r="B69" s="6" t="s">
        <v>17</v>
      </c>
      <c r="C69" s="6" t="s">
        <v>1357</v>
      </c>
      <c r="D69" s="6" t="s">
        <v>1358</v>
      </c>
      <c r="E69" s="6" t="s">
        <v>20</v>
      </c>
      <c r="F69" s="6">
        <v>23.582000000000001</v>
      </c>
      <c r="G69" s="6" t="s">
        <v>21</v>
      </c>
      <c r="H69" s="6">
        <v>1.73</v>
      </c>
      <c r="I69" s="6">
        <v>0</v>
      </c>
      <c r="J69" s="6">
        <v>0.02</v>
      </c>
      <c r="K69" s="6">
        <v>0.47</v>
      </c>
      <c r="L69" s="6">
        <v>40.799999999999997</v>
      </c>
      <c r="M69" s="6">
        <v>1.82</v>
      </c>
      <c r="N69" s="6">
        <v>42.92</v>
      </c>
      <c r="O69" s="6" t="s">
        <v>1416</v>
      </c>
      <c r="P69" s="6">
        <v>0</v>
      </c>
    </row>
    <row r="70" spans="1:16" s="6" customFormat="1" x14ac:dyDescent="0.25">
      <c r="A70" s="6" t="s">
        <v>77</v>
      </c>
      <c r="B70" s="6" t="s">
        <v>1387</v>
      </c>
      <c r="C70" s="6" t="s">
        <v>1388</v>
      </c>
      <c r="D70" s="6" t="s">
        <v>1389</v>
      </c>
      <c r="E70" s="6" t="s">
        <v>20</v>
      </c>
      <c r="F70" s="6">
        <v>42.192</v>
      </c>
      <c r="G70" s="6" t="s">
        <v>21</v>
      </c>
      <c r="H70" s="6">
        <v>1.73</v>
      </c>
      <c r="I70" s="6">
        <v>0</v>
      </c>
      <c r="J70" s="6">
        <v>0.02</v>
      </c>
      <c r="K70" s="6">
        <v>0.84</v>
      </c>
      <c r="L70" s="6">
        <v>72.989999999999995</v>
      </c>
      <c r="M70" s="6">
        <v>1.82</v>
      </c>
      <c r="N70" s="6">
        <v>76.790000000000006</v>
      </c>
      <c r="O70" s="6" t="s">
        <v>204</v>
      </c>
      <c r="P70" s="6">
        <v>0</v>
      </c>
    </row>
    <row r="71" spans="1:16" s="6" customFormat="1" x14ac:dyDescent="0.25">
      <c r="A71" s="6" t="s">
        <v>77</v>
      </c>
      <c r="B71" s="6" t="s">
        <v>1417</v>
      </c>
      <c r="C71" s="6" t="s">
        <v>1352</v>
      </c>
      <c r="D71" s="6" t="s">
        <v>1353</v>
      </c>
      <c r="E71" s="6" t="s">
        <v>20</v>
      </c>
      <c r="F71" s="6">
        <v>74.719999999999899</v>
      </c>
      <c r="G71" s="6" t="s">
        <v>21</v>
      </c>
      <c r="H71" s="6">
        <v>1.73</v>
      </c>
      <c r="I71" s="6">
        <v>0</v>
      </c>
      <c r="J71" s="6">
        <v>0.02</v>
      </c>
      <c r="K71" s="6">
        <v>1.49</v>
      </c>
      <c r="L71" s="6">
        <v>129.27000000000001</v>
      </c>
      <c r="M71" s="6">
        <v>1.82</v>
      </c>
      <c r="N71" s="6">
        <v>135.99</v>
      </c>
      <c r="O71" s="6" t="s">
        <v>794</v>
      </c>
      <c r="P71" s="6">
        <v>0</v>
      </c>
    </row>
    <row r="72" spans="1:16" s="6" customFormat="1" x14ac:dyDescent="0.25">
      <c r="A72" s="6" t="s">
        <v>77</v>
      </c>
      <c r="B72" s="6" t="s">
        <v>130</v>
      </c>
      <c r="C72" s="6" t="s">
        <v>1390</v>
      </c>
      <c r="D72" s="6" t="s">
        <v>1391</v>
      </c>
      <c r="E72" s="6" t="s">
        <v>30</v>
      </c>
      <c r="F72" s="6">
        <v>40.57</v>
      </c>
      <c r="G72" s="6" t="s">
        <v>21</v>
      </c>
      <c r="H72" s="6">
        <v>1.43</v>
      </c>
      <c r="I72" s="6">
        <v>0</v>
      </c>
      <c r="J72" s="6">
        <v>0.03</v>
      </c>
      <c r="K72" s="6">
        <v>1.22</v>
      </c>
      <c r="L72" s="6">
        <v>58.02</v>
      </c>
      <c r="M72" s="6">
        <v>1.51</v>
      </c>
      <c r="N72" s="6">
        <v>61.26</v>
      </c>
      <c r="O72" s="6" t="s">
        <v>1418</v>
      </c>
      <c r="P72" s="6">
        <v>12870</v>
      </c>
    </row>
    <row r="73" spans="1:16" s="6" customFormat="1" x14ac:dyDescent="0.25">
      <c r="A73" s="6" t="s">
        <v>77</v>
      </c>
      <c r="B73" s="6" t="s">
        <v>181</v>
      </c>
      <c r="C73" s="6" t="s">
        <v>1357</v>
      </c>
      <c r="D73" s="6" t="s">
        <v>1358</v>
      </c>
      <c r="E73" s="6" t="s">
        <v>20</v>
      </c>
      <c r="F73" s="6">
        <v>35.962000000000003</v>
      </c>
      <c r="G73" s="6" t="s">
        <v>21</v>
      </c>
      <c r="H73" s="6">
        <v>1.73</v>
      </c>
      <c r="I73" s="6">
        <v>0</v>
      </c>
      <c r="J73" s="6">
        <v>0.02</v>
      </c>
      <c r="K73" s="6">
        <v>0.72</v>
      </c>
      <c r="L73" s="6">
        <v>62.21</v>
      </c>
      <c r="M73" s="6">
        <v>1.83</v>
      </c>
      <c r="N73" s="6">
        <v>65.81</v>
      </c>
      <c r="O73" s="6" t="s">
        <v>1419</v>
      </c>
      <c r="P73" s="6">
        <v>0</v>
      </c>
    </row>
    <row r="74" spans="1:16" s="6" customFormat="1" x14ac:dyDescent="0.25">
      <c r="A74" s="6" t="s">
        <v>243</v>
      </c>
      <c r="B74" s="6" t="s">
        <v>24</v>
      </c>
      <c r="C74" s="6" t="s">
        <v>1369</v>
      </c>
      <c r="D74" s="6" t="s">
        <v>1370</v>
      </c>
      <c r="E74" s="6" t="s">
        <v>20</v>
      </c>
      <c r="F74" s="6">
        <v>55.631999999999898</v>
      </c>
      <c r="G74" s="6" t="s">
        <v>21</v>
      </c>
      <c r="H74" s="6">
        <v>1.72</v>
      </c>
      <c r="I74" s="6">
        <v>0</v>
      </c>
      <c r="J74" s="6">
        <v>0.02</v>
      </c>
      <c r="K74" s="6">
        <v>1.1100000000000001</v>
      </c>
      <c r="L74" s="6">
        <v>95.69</v>
      </c>
      <c r="M74" s="6">
        <v>1.82</v>
      </c>
      <c r="N74" s="6">
        <v>101.25</v>
      </c>
      <c r="O74" s="6" t="s">
        <v>1420</v>
      </c>
      <c r="P74" s="6">
        <v>332100</v>
      </c>
    </row>
    <row r="75" spans="1:16" s="6" customFormat="1" x14ac:dyDescent="0.25">
      <c r="A75" s="6" t="s">
        <v>243</v>
      </c>
      <c r="B75" s="6" t="s">
        <v>17</v>
      </c>
      <c r="C75" s="6" t="s">
        <v>1421</v>
      </c>
      <c r="D75" s="6" t="s">
        <v>1422</v>
      </c>
      <c r="E75" s="6" t="s">
        <v>30</v>
      </c>
      <c r="F75" s="6">
        <v>38.741999999999898</v>
      </c>
      <c r="G75" s="6" t="s">
        <v>21</v>
      </c>
      <c r="H75" s="6">
        <v>1.43</v>
      </c>
      <c r="I75" s="6">
        <v>0</v>
      </c>
      <c r="J75" s="6">
        <v>0.03</v>
      </c>
      <c r="K75" s="6">
        <v>1.1599999999999999</v>
      </c>
      <c r="L75" s="6">
        <v>55.4</v>
      </c>
      <c r="M75" s="6">
        <v>1.51</v>
      </c>
      <c r="N75" s="6">
        <v>58.5</v>
      </c>
      <c r="O75" s="6" t="s">
        <v>1423</v>
      </c>
      <c r="P75" s="6">
        <v>0</v>
      </c>
    </row>
    <row r="76" spans="1:16" s="6" customFormat="1" x14ac:dyDescent="0.25">
      <c r="A76" s="6" t="s">
        <v>243</v>
      </c>
      <c r="B76" s="6" t="s">
        <v>17</v>
      </c>
      <c r="C76" s="6" t="s">
        <v>1382</v>
      </c>
      <c r="D76" s="6" t="s">
        <v>1383</v>
      </c>
      <c r="E76" s="6" t="s">
        <v>64</v>
      </c>
      <c r="F76" s="6">
        <v>73.652000000000001</v>
      </c>
      <c r="G76" s="6" t="s">
        <v>21</v>
      </c>
      <c r="H76" s="6">
        <v>1.87</v>
      </c>
      <c r="I76" s="6">
        <v>0</v>
      </c>
      <c r="J76" s="6">
        <v>0.09</v>
      </c>
      <c r="K76" s="6">
        <v>6.63</v>
      </c>
      <c r="L76" s="6">
        <v>137.72999999999999</v>
      </c>
      <c r="M76" s="6">
        <v>2.0699999999999998</v>
      </c>
      <c r="N76" s="6">
        <v>152.46</v>
      </c>
      <c r="O76" s="6" t="s">
        <v>1424</v>
      </c>
      <c r="P76" s="6">
        <v>0</v>
      </c>
    </row>
    <row r="77" spans="1:16" s="6" customFormat="1" x14ac:dyDescent="0.25">
      <c r="A77" s="6" t="s">
        <v>243</v>
      </c>
      <c r="B77" s="6" t="s">
        <v>496</v>
      </c>
      <c r="C77" s="6" t="s">
        <v>1359</v>
      </c>
      <c r="D77" s="6" t="s">
        <v>1360</v>
      </c>
      <c r="E77" s="6" t="s">
        <v>64</v>
      </c>
      <c r="F77" s="6">
        <v>55</v>
      </c>
      <c r="G77" s="6" t="s">
        <v>21</v>
      </c>
      <c r="H77" s="6">
        <v>1.87</v>
      </c>
      <c r="I77" s="6">
        <v>0</v>
      </c>
      <c r="J77" s="6">
        <v>0.09</v>
      </c>
      <c r="K77" s="6">
        <v>4.95</v>
      </c>
      <c r="L77" s="6">
        <v>102.85</v>
      </c>
      <c r="M77" s="6">
        <v>2.0699999999999998</v>
      </c>
      <c r="N77" s="6">
        <v>113.85</v>
      </c>
      <c r="O77" s="6" t="s">
        <v>150</v>
      </c>
      <c r="P77" s="6">
        <v>294333</v>
      </c>
    </row>
    <row r="78" spans="1:16" s="6" customFormat="1" x14ac:dyDescent="0.25">
      <c r="A78" s="6" t="s">
        <v>243</v>
      </c>
      <c r="B78" s="6" t="s">
        <v>1274</v>
      </c>
      <c r="C78" s="6" t="s">
        <v>1357</v>
      </c>
      <c r="D78" s="6" t="s">
        <v>1358</v>
      </c>
      <c r="E78" s="6" t="s">
        <v>20</v>
      </c>
      <c r="F78" s="6">
        <v>37.829999999999899</v>
      </c>
      <c r="G78" s="6" t="s">
        <v>21</v>
      </c>
      <c r="H78" s="6">
        <v>1.72</v>
      </c>
      <c r="I78" s="6">
        <v>0</v>
      </c>
      <c r="J78" s="6">
        <v>0.02</v>
      </c>
      <c r="K78" s="6">
        <v>0.76</v>
      </c>
      <c r="L78" s="6">
        <v>65.069999999999993</v>
      </c>
      <c r="M78" s="6">
        <v>1.82</v>
      </c>
      <c r="N78" s="6">
        <v>68.849999999999994</v>
      </c>
      <c r="O78" s="6" t="s">
        <v>1089</v>
      </c>
      <c r="P78" s="6">
        <v>0</v>
      </c>
    </row>
    <row r="79" spans="1:16" s="6" customFormat="1" x14ac:dyDescent="0.25">
      <c r="A79" s="6" t="s">
        <v>145</v>
      </c>
      <c r="B79" s="6" t="s">
        <v>17</v>
      </c>
      <c r="C79" s="6" t="s">
        <v>1355</v>
      </c>
      <c r="D79" s="6" t="s">
        <v>1356</v>
      </c>
      <c r="E79" s="6" t="s">
        <v>20</v>
      </c>
      <c r="F79" s="6">
        <v>24.692</v>
      </c>
      <c r="G79" s="6" t="s">
        <v>21</v>
      </c>
      <c r="H79" s="6">
        <v>1.72</v>
      </c>
      <c r="I79" s="6">
        <v>0</v>
      </c>
      <c r="J79" s="6">
        <v>0.02</v>
      </c>
      <c r="K79" s="6">
        <v>0.49</v>
      </c>
      <c r="L79" s="6">
        <v>42.47</v>
      </c>
      <c r="M79" s="6">
        <v>1.82</v>
      </c>
      <c r="N79" s="6">
        <v>44.94</v>
      </c>
      <c r="O79" s="6" t="s">
        <v>319</v>
      </c>
      <c r="P79" s="6">
        <v>295940</v>
      </c>
    </row>
    <row r="80" spans="1:16" s="6" customFormat="1" x14ac:dyDescent="0.25">
      <c r="A80" s="6" t="s">
        <v>145</v>
      </c>
      <c r="B80" s="6" t="s">
        <v>496</v>
      </c>
      <c r="C80" s="6" t="s">
        <v>1361</v>
      </c>
      <c r="D80" s="6" t="s">
        <v>1362</v>
      </c>
      <c r="E80" s="6" t="s">
        <v>20</v>
      </c>
      <c r="F80" s="6">
        <v>59.808</v>
      </c>
      <c r="G80" s="6" t="s">
        <v>21</v>
      </c>
      <c r="H80" s="6">
        <v>1.72</v>
      </c>
      <c r="I80" s="6">
        <v>0</v>
      </c>
      <c r="J80" s="6">
        <v>0.02</v>
      </c>
      <c r="K80" s="6">
        <v>1.2</v>
      </c>
      <c r="L80" s="6">
        <v>102.87</v>
      </c>
      <c r="M80" s="6">
        <v>1.82</v>
      </c>
      <c r="N80" s="6">
        <v>108.85</v>
      </c>
      <c r="O80" s="6" t="s">
        <v>1425</v>
      </c>
      <c r="P80" s="6">
        <v>0</v>
      </c>
    </row>
    <row r="81" spans="1:16" s="6" customFormat="1" x14ac:dyDescent="0.25">
      <c r="A81" s="6" t="s">
        <v>145</v>
      </c>
      <c r="B81" s="6" t="s">
        <v>320</v>
      </c>
      <c r="C81" s="6" t="s">
        <v>1355</v>
      </c>
      <c r="D81" s="6" t="s">
        <v>1356</v>
      </c>
      <c r="E81" s="6" t="s">
        <v>20</v>
      </c>
      <c r="F81" s="6">
        <v>33.088000000000001</v>
      </c>
      <c r="G81" s="6" t="s">
        <v>21</v>
      </c>
      <c r="H81" s="6">
        <v>1.72</v>
      </c>
      <c r="I81" s="6">
        <v>0</v>
      </c>
      <c r="J81" s="6">
        <v>0.02</v>
      </c>
      <c r="K81" s="6">
        <v>0.66</v>
      </c>
      <c r="L81" s="6">
        <v>56.91</v>
      </c>
      <c r="M81" s="6">
        <v>1.82</v>
      </c>
      <c r="N81" s="6">
        <v>60.22</v>
      </c>
      <c r="O81" s="6" t="s">
        <v>738</v>
      </c>
      <c r="P81" s="6">
        <v>0</v>
      </c>
    </row>
    <row r="82" spans="1:16" s="6" customFormat="1" x14ac:dyDescent="0.25">
      <c r="A82" s="6" t="s">
        <v>145</v>
      </c>
      <c r="B82" s="6" t="s">
        <v>217</v>
      </c>
      <c r="C82" s="6" t="s">
        <v>1363</v>
      </c>
      <c r="D82" s="6" t="s">
        <v>1364</v>
      </c>
      <c r="E82" s="6" t="s">
        <v>20</v>
      </c>
      <c r="F82" s="6">
        <v>43.241999999999898</v>
      </c>
      <c r="G82" s="6" t="s">
        <v>21</v>
      </c>
      <c r="H82" s="6">
        <v>1.72</v>
      </c>
      <c r="I82" s="6">
        <v>0</v>
      </c>
      <c r="J82" s="6">
        <v>0.02</v>
      </c>
      <c r="K82" s="6">
        <v>0.86</v>
      </c>
      <c r="L82" s="6">
        <v>74.38</v>
      </c>
      <c r="M82" s="6">
        <v>1.82</v>
      </c>
      <c r="N82" s="6">
        <v>78.7</v>
      </c>
      <c r="O82" s="6" t="s">
        <v>1426</v>
      </c>
      <c r="P82" s="6">
        <v>0</v>
      </c>
    </row>
    <row r="83" spans="1:16" s="6" customFormat="1" x14ac:dyDescent="0.25">
      <c r="A83" s="6" t="s">
        <v>145</v>
      </c>
      <c r="B83" s="6" t="s">
        <v>217</v>
      </c>
      <c r="C83" s="6" t="s">
        <v>1363</v>
      </c>
      <c r="D83" s="6" t="s">
        <v>1364</v>
      </c>
      <c r="E83" s="6" t="s">
        <v>257</v>
      </c>
      <c r="F83" s="6">
        <v>7</v>
      </c>
      <c r="G83" s="6" t="s">
        <v>21</v>
      </c>
      <c r="H83" s="6">
        <v>1.22</v>
      </c>
      <c r="I83" s="6">
        <v>0</v>
      </c>
      <c r="J83" s="6">
        <v>0</v>
      </c>
      <c r="L83" s="6">
        <v>8.5399999999999991</v>
      </c>
      <c r="M83" s="6">
        <v>1.22</v>
      </c>
      <c r="N83" s="6">
        <v>8.5399999999999991</v>
      </c>
      <c r="O83" s="6" t="s">
        <v>1426</v>
      </c>
      <c r="P83" s="6">
        <v>0</v>
      </c>
    </row>
    <row r="84" spans="1:16" s="6" customFormat="1" x14ac:dyDescent="0.25">
      <c r="A84" s="6" t="s">
        <v>145</v>
      </c>
      <c r="B84" s="6" t="s">
        <v>181</v>
      </c>
      <c r="C84" s="6" t="s">
        <v>1372</v>
      </c>
      <c r="D84" s="6" t="s">
        <v>1373</v>
      </c>
      <c r="E84" s="6" t="s">
        <v>20</v>
      </c>
      <c r="F84" s="6">
        <v>30</v>
      </c>
      <c r="G84" s="6" t="s">
        <v>21</v>
      </c>
      <c r="H84" s="6">
        <v>1.72</v>
      </c>
      <c r="I84" s="6">
        <v>0</v>
      </c>
      <c r="J84" s="6">
        <v>0.02</v>
      </c>
      <c r="K84" s="6">
        <v>0.6</v>
      </c>
      <c r="L84" s="6">
        <v>51.6</v>
      </c>
      <c r="M84" s="6">
        <v>1.83</v>
      </c>
      <c r="N84" s="6">
        <v>54.9</v>
      </c>
      <c r="O84" s="6" t="s">
        <v>1427</v>
      </c>
      <c r="P84" s="6">
        <v>0</v>
      </c>
    </row>
    <row r="85" spans="1:16" s="6" customFormat="1" x14ac:dyDescent="0.25">
      <c r="A85" s="6" t="s">
        <v>82</v>
      </c>
      <c r="B85" s="6" t="s">
        <v>17</v>
      </c>
      <c r="C85" s="6" t="s">
        <v>1399</v>
      </c>
      <c r="D85" s="6" t="s">
        <v>1400</v>
      </c>
      <c r="E85" s="6" t="s">
        <v>64</v>
      </c>
      <c r="F85" s="6">
        <v>50.222000000000001</v>
      </c>
      <c r="G85" s="6" t="s">
        <v>21</v>
      </c>
      <c r="H85" s="6">
        <v>1.87</v>
      </c>
      <c r="I85" s="6">
        <v>0</v>
      </c>
      <c r="J85" s="6">
        <v>0.09</v>
      </c>
      <c r="K85" s="6">
        <v>4.5199999999999996</v>
      </c>
      <c r="L85" s="6">
        <v>93.92</v>
      </c>
      <c r="M85" s="6">
        <v>2.0699999999999998</v>
      </c>
      <c r="N85" s="6">
        <v>103.96</v>
      </c>
      <c r="O85" s="6" t="s">
        <v>115</v>
      </c>
      <c r="P85" s="6">
        <v>0</v>
      </c>
    </row>
    <row r="86" spans="1:16" s="6" customFormat="1" x14ac:dyDescent="0.25">
      <c r="A86" s="6" t="s">
        <v>82</v>
      </c>
      <c r="B86" s="6" t="s">
        <v>130</v>
      </c>
      <c r="C86" s="6" t="s">
        <v>1393</v>
      </c>
      <c r="D86" s="6" t="s">
        <v>1394</v>
      </c>
      <c r="E86" s="6" t="s">
        <v>64</v>
      </c>
      <c r="F86" s="6">
        <v>49.942</v>
      </c>
      <c r="G86" s="6" t="s">
        <v>21</v>
      </c>
      <c r="H86" s="6">
        <v>1.87</v>
      </c>
      <c r="I86" s="6">
        <v>0</v>
      </c>
      <c r="J86" s="6">
        <v>0.09</v>
      </c>
      <c r="K86" s="6">
        <v>4.49</v>
      </c>
      <c r="L86" s="6">
        <v>93.39</v>
      </c>
      <c r="M86" s="6">
        <v>2.0699999999999998</v>
      </c>
      <c r="N86" s="6">
        <v>103.38</v>
      </c>
      <c r="O86" s="6" t="s">
        <v>1428</v>
      </c>
      <c r="P86" s="6">
        <v>0</v>
      </c>
    </row>
    <row r="87" spans="1:16" s="6" customFormat="1" x14ac:dyDescent="0.25">
      <c r="A87" s="6" t="s">
        <v>83</v>
      </c>
      <c r="B87" s="6" t="s">
        <v>130</v>
      </c>
      <c r="C87" s="6" t="s">
        <v>1366</v>
      </c>
      <c r="D87" s="6" t="s">
        <v>1367</v>
      </c>
      <c r="E87" s="6" t="s">
        <v>87</v>
      </c>
      <c r="F87" s="6">
        <v>75.790000000000006</v>
      </c>
      <c r="G87" s="6" t="s">
        <v>21</v>
      </c>
      <c r="H87" s="6">
        <v>1.71</v>
      </c>
      <c r="I87" s="6">
        <v>0</v>
      </c>
      <c r="J87" s="6">
        <v>7.0000000000000007E-2</v>
      </c>
      <c r="K87" s="6">
        <v>5.31</v>
      </c>
      <c r="L87" s="6">
        <v>129.6</v>
      </c>
      <c r="M87" s="6">
        <v>1.76</v>
      </c>
      <c r="N87" s="6">
        <v>133.38999999999999</v>
      </c>
      <c r="O87" s="6" t="s">
        <v>1429</v>
      </c>
      <c r="P87" s="6">
        <v>0</v>
      </c>
    </row>
    <row r="88" spans="1:16" s="6" customFormat="1" x14ac:dyDescent="0.25">
      <c r="A88" s="6" t="s">
        <v>83</v>
      </c>
      <c r="B88" s="6" t="s">
        <v>130</v>
      </c>
      <c r="C88" s="6" t="s">
        <v>1376</v>
      </c>
      <c r="D88" s="6" t="s">
        <v>1377</v>
      </c>
      <c r="E88" s="6" t="s">
        <v>87</v>
      </c>
      <c r="F88" s="6">
        <v>94.409000000000006</v>
      </c>
      <c r="G88" s="6" t="s">
        <v>21</v>
      </c>
      <c r="H88" s="6">
        <v>1.71</v>
      </c>
      <c r="I88" s="6">
        <v>0</v>
      </c>
      <c r="J88" s="6">
        <v>7.0000000000000007E-2</v>
      </c>
      <c r="K88" s="6">
        <v>6.61</v>
      </c>
      <c r="L88" s="6">
        <v>161.44</v>
      </c>
      <c r="M88" s="6">
        <v>1.76</v>
      </c>
      <c r="N88" s="6">
        <v>166.16</v>
      </c>
      <c r="O88" s="6" t="s">
        <v>1086</v>
      </c>
      <c r="P88" s="6">
        <v>0</v>
      </c>
    </row>
    <row r="89" spans="1:16" s="6" customFormat="1" x14ac:dyDescent="0.25">
      <c r="A89" s="6" t="s">
        <v>16</v>
      </c>
      <c r="B89" s="6" t="s">
        <v>103</v>
      </c>
      <c r="C89" s="6" t="s">
        <v>1385</v>
      </c>
      <c r="D89" s="6" t="s">
        <v>1386</v>
      </c>
      <c r="E89" s="6" t="s">
        <v>64</v>
      </c>
      <c r="F89" s="6">
        <v>63.649999999999899</v>
      </c>
      <c r="G89" s="6" t="s">
        <v>21</v>
      </c>
      <c r="H89" s="6">
        <v>1.87</v>
      </c>
      <c r="I89" s="6">
        <v>0</v>
      </c>
      <c r="J89" s="6">
        <v>0.09</v>
      </c>
      <c r="K89" s="6">
        <v>5.73</v>
      </c>
      <c r="L89" s="6">
        <v>119.03</v>
      </c>
      <c r="M89" s="6">
        <v>2.06</v>
      </c>
      <c r="N89" s="6">
        <v>131.12</v>
      </c>
      <c r="O89" s="6" t="s">
        <v>349</v>
      </c>
      <c r="P89" s="6">
        <v>361510</v>
      </c>
    </row>
    <row r="90" spans="1:16" s="6" customFormat="1" x14ac:dyDescent="0.25">
      <c r="A90" s="6" t="s">
        <v>16</v>
      </c>
      <c r="B90" s="6" t="s">
        <v>217</v>
      </c>
      <c r="C90" s="6" t="s">
        <v>1355</v>
      </c>
      <c r="D90" s="6" t="s">
        <v>1356</v>
      </c>
      <c r="E90" s="6" t="s">
        <v>20</v>
      </c>
      <c r="F90" s="6">
        <v>49.359000000000002</v>
      </c>
      <c r="G90" s="6" t="s">
        <v>21</v>
      </c>
      <c r="H90" s="6">
        <v>1.69</v>
      </c>
      <c r="I90" s="6">
        <v>0</v>
      </c>
      <c r="J90" s="6">
        <v>0.02</v>
      </c>
      <c r="K90" s="6">
        <v>0.99</v>
      </c>
      <c r="L90" s="6">
        <v>83.42</v>
      </c>
      <c r="M90" s="6">
        <v>1.81</v>
      </c>
      <c r="N90" s="6">
        <v>89.34</v>
      </c>
      <c r="O90" s="6" t="s">
        <v>323</v>
      </c>
      <c r="P90" s="6">
        <v>0</v>
      </c>
    </row>
    <row r="91" spans="1:16" s="6" customFormat="1" x14ac:dyDescent="0.25">
      <c r="A91" s="6" t="s">
        <v>86</v>
      </c>
      <c r="B91" s="6" t="s">
        <v>116</v>
      </c>
      <c r="C91" s="6" t="s">
        <v>1388</v>
      </c>
      <c r="D91" s="6" t="s">
        <v>1389</v>
      </c>
      <c r="E91" s="6" t="s">
        <v>20</v>
      </c>
      <c r="F91" s="6">
        <v>43</v>
      </c>
      <c r="G91" s="6" t="s">
        <v>21</v>
      </c>
      <c r="H91" s="6">
        <v>1.69</v>
      </c>
      <c r="I91" s="6">
        <v>0</v>
      </c>
      <c r="J91" s="6">
        <v>0.02</v>
      </c>
      <c r="K91" s="6">
        <v>0.86</v>
      </c>
      <c r="L91" s="6">
        <v>72.67</v>
      </c>
      <c r="M91" s="6">
        <v>1.8</v>
      </c>
      <c r="N91" s="6">
        <v>77.400000000000006</v>
      </c>
      <c r="O91" s="6" t="s">
        <v>450</v>
      </c>
      <c r="P91" s="6">
        <v>0</v>
      </c>
    </row>
    <row r="92" spans="1:16" s="6" customFormat="1" x14ac:dyDescent="0.25">
      <c r="A92" s="6" t="s">
        <v>86</v>
      </c>
      <c r="B92" s="6" t="s">
        <v>1430</v>
      </c>
      <c r="C92" s="6" t="s">
        <v>1352</v>
      </c>
      <c r="D92" s="6" t="s">
        <v>1353</v>
      </c>
      <c r="E92" s="6" t="s">
        <v>20</v>
      </c>
      <c r="F92" s="6">
        <v>62.238999999999898</v>
      </c>
      <c r="G92" s="6" t="s">
        <v>21</v>
      </c>
      <c r="H92" s="6">
        <v>1.69</v>
      </c>
      <c r="I92" s="6">
        <v>0</v>
      </c>
      <c r="J92" s="6">
        <v>0.02</v>
      </c>
      <c r="K92" s="6">
        <v>1.24</v>
      </c>
      <c r="L92" s="6">
        <v>105.18</v>
      </c>
      <c r="M92" s="6">
        <v>1.8</v>
      </c>
      <c r="N92" s="6">
        <v>112.03</v>
      </c>
      <c r="O92" s="6" t="s">
        <v>364</v>
      </c>
      <c r="P92" s="6">
        <v>0</v>
      </c>
    </row>
    <row r="93" spans="1:16" s="6" customFormat="1" x14ac:dyDescent="0.25">
      <c r="A93" s="6" t="s">
        <v>86</v>
      </c>
      <c r="B93" s="6" t="s">
        <v>181</v>
      </c>
      <c r="C93" s="6" t="s">
        <v>1363</v>
      </c>
      <c r="D93" s="6" t="s">
        <v>1364</v>
      </c>
      <c r="E93" s="6" t="s">
        <v>20</v>
      </c>
      <c r="F93" s="6">
        <v>72.510999999999896</v>
      </c>
      <c r="G93" s="6" t="s">
        <v>21</v>
      </c>
      <c r="H93" s="6">
        <v>1.69</v>
      </c>
      <c r="I93" s="6">
        <v>0</v>
      </c>
      <c r="J93" s="6">
        <v>0.02</v>
      </c>
      <c r="K93" s="6">
        <v>1.45</v>
      </c>
      <c r="L93" s="6">
        <v>122.54</v>
      </c>
      <c r="M93" s="6">
        <v>1.82</v>
      </c>
      <c r="N93" s="6">
        <v>131.97</v>
      </c>
      <c r="O93" s="6" t="s">
        <v>957</v>
      </c>
      <c r="P93" s="6">
        <v>0</v>
      </c>
    </row>
    <row r="94" spans="1:16" s="6" customFormat="1" x14ac:dyDescent="0.25">
      <c r="A94" s="6" t="s">
        <v>151</v>
      </c>
      <c r="B94" s="6" t="s">
        <v>600</v>
      </c>
      <c r="C94" s="6" t="s">
        <v>1352</v>
      </c>
      <c r="D94" s="6" t="s">
        <v>1353</v>
      </c>
      <c r="E94" s="6" t="s">
        <v>20</v>
      </c>
      <c r="F94" s="6">
        <v>64.721999999999895</v>
      </c>
      <c r="G94" s="6" t="s">
        <v>21</v>
      </c>
      <c r="H94" s="6">
        <v>1.67</v>
      </c>
      <c r="I94" s="6">
        <v>0</v>
      </c>
      <c r="J94" s="6">
        <v>0.02</v>
      </c>
      <c r="K94" s="6">
        <v>1.29</v>
      </c>
      <c r="L94" s="6">
        <v>108.09</v>
      </c>
      <c r="M94" s="6">
        <v>1.8</v>
      </c>
      <c r="N94" s="6">
        <v>116.5</v>
      </c>
      <c r="O94" s="6" t="s">
        <v>511</v>
      </c>
      <c r="P94" s="6">
        <v>0</v>
      </c>
    </row>
    <row r="95" spans="1:16" s="6" customFormat="1" x14ac:dyDescent="0.25">
      <c r="A95" s="6" t="s">
        <v>151</v>
      </c>
      <c r="B95" s="6" t="s">
        <v>17</v>
      </c>
      <c r="C95" s="6" t="s">
        <v>1408</v>
      </c>
      <c r="D95" s="6" t="s">
        <v>1409</v>
      </c>
      <c r="E95" s="6" t="s">
        <v>20</v>
      </c>
      <c r="F95" s="6">
        <v>58.261000000000003</v>
      </c>
      <c r="G95" s="6" t="s">
        <v>21</v>
      </c>
      <c r="H95" s="6">
        <v>1.67</v>
      </c>
      <c r="I95" s="6">
        <v>0</v>
      </c>
      <c r="J95" s="6">
        <v>0.02</v>
      </c>
      <c r="K95" s="6">
        <v>1.17</v>
      </c>
      <c r="L95" s="6">
        <v>97.3</v>
      </c>
      <c r="M95" s="6">
        <v>1.8</v>
      </c>
      <c r="N95" s="6">
        <v>104.87</v>
      </c>
      <c r="O95" s="6" t="s">
        <v>636</v>
      </c>
      <c r="P95" s="6">
        <v>454575</v>
      </c>
    </row>
    <row r="96" spans="1:16" s="6" customFormat="1" x14ac:dyDescent="0.25">
      <c r="A96" s="6" t="s">
        <v>151</v>
      </c>
      <c r="B96" s="6" t="s">
        <v>496</v>
      </c>
      <c r="C96" s="6" t="s">
        <v>1382</v>
      </c>
      <c r="D96" s="6" t="s">
        <v>1383</v>
      </c>
      <c r="E96" s="6" t="s">
        <v>64</v>
      </c>
      <c r="F96" s="6">
        <v>76.688000000000002</v>
      </c>
      <c r="G96" s="6" t="s">
        <v>21</v>
      </c>
      <c r="H96" s="6">
        <v>1.87</v>
      </c>
      <c r="I96" s="6">
        <v>0</v>
      </c>
      <c r="J96" s="6">
        <v>0.09</v>
      </c>
      <c r="K96" s="6">
        <v>6.9</v>
      </c>
      <c r="L96" s="6">
        <v>143.41</v>
      </c>
      <c r="M96" s="6">
        <v>2.0499999999999998</v>
      </c>
      <c r="N96" s="6">
        <v>157.21</v>
      </c>
      <c r="O96" s="6" t="s">
        <v>1183</v>
      </c>
      <c r="P96" s="6">
        <v>0</v>
      </c>
    </row>
    <row r="97" spans="1:16" s="6" customFormat="1" x14ac:dyDescent="0.25">
      <c r="A97" s="6" t="s">
        <v>151</v>
      </c>
      <c r="B97" s="6" t="s">
        <v>496</v>
      </c>
      <c r="C97" s="6" t="s">
        <v>1359</v>
      </c>
      <c r="D97" s="6" t="s">
        <v>1360</v>
      </c>
      <c r="E97" s="6" t="s">
        <v>64</v>
      </c>
      <c r="F97" s="6">
        <v>30</v>
      </c>
      <c r="G97" s="6" t="s">
        <v>21</v>
      </c>
      <c r="H97" s="6">
        <v>1.87</v>
      </c>
      <c r="I97" s="6">
        <v>0</v>
      </c>
      <c r="J97" s="6">
        <v>0.09</v>
      </c>
      <c r="K97" s="6">
        <v>2.7</v>
      </c>
      <c r="L97" s="6">
        <v>56.1</v>
      </c>
      <c r="M97" s="6">
        <v>2.0499999999999998</v>
      </c>
      <c r="N97" s="6">
        <v>61.5</v>
      </c>
      <c r="O97" s="6" t="s">
        <v>1431</v>
      </c>
      <c r="P97" s="6">
        <v>294651</v>
      </c>
    </row>
    <row r="98" spans="1:16" s="6" customFormat="1" x14ac:dyDescent="0.25">
      <c r="A98" s="6" t="s">
        <v>151</v>
      </c>
      <c r="B98" s="6" t="s">
        <v>576</v>
      </c>
      <c r="C98" s="6" t="s">
        <v>1355</v>
      </c>
      <c r="D98" s="6" t="s">
        <v>1356</v>
      </c>
      <c r="E98" s="6" t="s">
        <v>64</v>
      </c>
      <c r="F98" s="6">
        <v>47</v>
      </c>
      <c r="G98" s="6" t="s">
        <v>21</v>
      </c>
      <c r="H98" s="6">
        <v>1.87</v>
      </c>
      <c r="I98" s="6">
        <v>0</v>
      </c>
      <c r="J98" s="6">
        <v>0.09</v>
      </c>
      <c r="K98" s="6">
        <v>4.2300000000000004</v>
      </c>
      <c r="L98" s="6">
        <v>87.89</v>
      </c>
      <c r="M98" s="6">
        <v>2.0499999999999998</v>
      </c>
      <c r="N98" s="6">
        <v>96.35</v>
      </c>
      <c r="O98" s="6" t="s">
        <v>238</v>
      </c>
      <c r="P98" s="6">
        <v>0</v>
      </c>
    </row>
    <row r="99" spans="1:16" s="6" customFormat="1" x14ac:dyDescent="0.25">
      <c r="A99" s="6" t="s">
        <v>151</v>
      </c>
      <c r="B99" s="6" t="s">
        <v>130</v>
      </c>
      <c r="C99" s="6" t="s">
        <v>1369</v>
      </c>
      <c r="D99" s="6" t="s">
        <v>1370</v>
      </c>
      <c r="E99" s="6" t="s">
        <v>20</v>
      </c>
      <c r="F99" s="6">
        <v>42.2</v>
      </c>
      <c r="G99" s="6" t="s">
        <v>21</v>
      </c>
      <c r="H99" s="6">
        <v>1.67</v>
      </c>
      <c r="I99" s="6">
        <v>0</v>
      </c>
      <c r="J99" s="6">
        <v>0.02</v>
      </c>
      <c r="K99" s="6">
        <v>0.84</v>
      </c>
      <c r="L99" s="6">
        <v>70.47</v>
      </c>
      <c r="M99" s="6">
        <v>1.8</v>
      </c>
      <c r="N99" s="6">
        <v>75.959999999999994</v>
      </c>
      <c r="O99" s="6" t="s">
        <v>81</v>
      </c>
      <c r="P99" s="6">
        <v>332490</v>
      </c>
    </row>
    <row r="100" spans="1:16" s="6" customFormat="1" x14ac:dyDescent="0.25">
      <c r="A100" s="6" t="s">
        <v>23</v>
      </c>
      <c r="B100" s="6" t="s">
        <v>17</v>
      </c>
      <c r="C100" s="6" t="s">
        <v>1399</v>
      </c>
      <c r="D100" s="6" t="s">
        <v>1400</v>
      </c>
      <c r="E100" s="6" t="s">
        <v>64</v>
      </c>
      <c r="F100" s="6">
        <v>48.287999999999897</v>
      </c>
      <c r="G100" s="6" t="s">
        <v>21</v>
      </c>
      <c r="H100" s="6">
        <v>1.87</v>
      </c>
      <c r="I100" s="6">
        <v>0</v>
      </c>
      <c r="J100" s="6">
        <v>0.09</v>
      </c>
      <c r="K100" s="6">
        <v>4.3499999999999996</v>
      </c>
      <c r="L100" s="6">
        <v>90.3</v>
      </c>
      <c r="M100" s="6">
        <v>2.0499999999999998</v>
      </c>
      <c r="N100" s="6">
        <v>98.99</v>
      </c>
      <c r="O100" s="6" t="s">
        <v>1114</v>
      </c>
      <c r="P100" s="6">
        <v>0</v>
      </c>
    </row>
    <row r="101" spans="1:16" s="6" customFormat="1" x14ac:dyDescent="0.25">
      <c r="A101" s="6" t="s">
        <v>23</v>
      </c>
      <c r="B101" s="6" t="s">
        <v>17</v>
      </c>
      <c r="C101" s="6" t="s">
        <v>1372</v>
      </c>
      <c r="D101" s="6" t="s">
        <v>1373</v>
      </c>
      <c r="E101" s="6" t="s">
        <v>20</v>
      </c>
      <c r="F101" s="6">
        <v>37.738999999999898</v>
      </c>
      <c r="G101" s="6" t="s">
        <v>21</v>
      </c>
      <c r="H101" s="6">
        <v>1.67</v>
      </c>
      <c r="I101" s="6">
        <v>0</v>
      </c>
      <c r="J101" s="6">
        <v>0.02</v>
      </c>
      <c r="K101" s="6">
        <v>0.75</v>
      </c>
      <c r="L101" s="6">
        <v>63.02</v>
      </c>
      <c r="M101" s="6">
        <v>1.8</v>
      </c>
      <c r="N101" s="6">
        <v>67.930000000000007</v>
      </c>
      <c r="O101" s="6" t="s">
        <v>1432</v>
      </c>
      <c r="P101" s="6">
        <v>0</v>
      </c>
    </row>
    <row r="102" spans="1:16" s="6" customFormat="1" x14ac:dyDescent="0.25">
      <c r="A102" s="6" t="s">
        <v>23</v>
      </c>
      <c r="B102" s="6" t="s">
        <v>32</v>
      </c>
      <c r="C102" s="6" t="s">
        <v>1380</v>
      </c>
      <c r="D102" s="6" t="s">
        <v>1381</v>
      </c>
      <c r="E102" s="6" t="s">
        <v>64</v>
      </c>
      <c r="F102" s="6">
        <v>65</v>
      </c>
      <c r="G102" s="6" t="s">
        <v>21</v>
      </c>
      <c r="H102" s="6">
        <v>1.87</v>
      </c>
      <c r="I102" s="6">
        <v>0</v>
      </c>
      <c r="J102" s="6">
        <v>0.09</v>
      </c>
      <c r="K102" s="6">
        <v>5.85</v>
      </c>
      <c r="L102" s="6">
        <v>121.55</v>
      </c>
      <c r="M102" s="6">
        <v>2.0499999999999998</v>
      </c>
      <c r="N102" s="6">
        <v>133.25</v>
      </c>
      <c r="O102" s="6" t="s">
        <v>1309</v>
      </c>
      <c r="P102" s="6">
        <v>302925</v>
      </c>
    </row>
    <row r="103" spans="1:16" s="6" customFormat="1" x14ac:dyDescent="0.25">
      <c r="A103" s="6" t="s">
        <v>23</v>
      </c>
      <c r="B103" s="6" t="s">
        <v>217</v>
      </c>
      <c r="C103" s="6" t="s">
        <v>1363</v>
      </c>
      <c r="D103" s="6" t="s">
        <v>1364</v>
      </c>
      <c r="E103" s="6" t="s">
        <v>20</v>
      </c>
      <c r="F103" s="6">
        <v>90.911000000000001</v>
      </c>
      <c r="G103" s="6" t="s">
        <v>21</v>
      </c>
      <c r="H103" s="6">
        <v>1.67</v>
      </c>
      <c r="I103" s="6">
        <v>0</v>
      </c>
      <c r="J103" s="6">
        <v>0.02</v>
      </c>
      <c r="K103" s="6">
        <v>1.82</v>
      </c>
      <c r="L103" s="6">
        <v>151.82</v>
      </c>
      <c r="M103" s="6">
        <v>1.8</v>
      </c>
      <c r="N103" s="6">
        <v>163.63999999999999</v>
      </c>
      <c r="O103" s="6" t="s">
        <v>1433</v>
      </c>
      <c r="P103" s="6">
        <v>860835</v>
      </c>
    </row>
    <row r="104" spans="1:16" s="6" customFormat="1" x14ac:dyDescent="0.25">
      <c r="A104" s="6" t="s">
        <v>23</v>
      </c>
      <c r="B104" s="6" t="s">
        <v>217</v>
      </c>
      <c r="C104" s="6" t="s">
        <v>1363</v>
      </c>
      <c r="D104" s="6" t="s">
        <v>1364</v>
      </c>
      <c r="E104" s="6" t="s">
        <v>257</v>
      </c>
      <c r="F104" s="6">
        <v>19.6069999999999</v>
      </c>
      <c r="G104" s="6" t="s">
        <v>21</v>
      </c>
      <c r="H104" s="6">
        <v>1.22</v>
      </c>
      <c r="I104" s="6">
        <v>0</v>
      </c>
      <c r="J104" s="6">
        <v>0</v>
      </c>
      <c r="L104" s="6">
        <v>23.92</v>
      </c>
      <c r="M104" s="6">
        <v>1.22</v>
      </c>
      <c r="N104" s="6">
        <v>23.92</v>
      </c>
      <c r="O104" s="6" t="s">
        <v>1433</v>
      </c>
      <c r="P104" s="6">
        <v>860835</v>
      </c>
    </row>
    <row r="105" spans="1:16" s="6" customFormat="1" x14ac:dyDescent="0.25">
      <c r="A105" s="6" t="s">
        <v>23</v>
      </c>
      <c r="B105" s="6" t="s">
        <v>181</v>
      </c>
      <c r="C105" s="6" t="s">
        <v>1372</v>
      </c>
      <c r="D105" s="6" t="s">
        <v>1373</v>
      </c>
      <c r="E105" s="6" t="s">
        <v>20</v>
      </c>
      <c r="F105" s="6">
        <v>36.89</v>
      </c>
      <c r="G105" s="6" t="s">
        <v>21</v>
      </c>
      <c r="H105" s="6">
        <v>1.67</v>
      </c>
      <c r="I105" s="6">
        <v>0</v>
      </c>
      <c r="J105" s="6">
        <v>0.02</v>
      </c>
      <c r="K105" s="6">
        <v>0.74</v>
      </c>
      <c r="L105" s="6">
        <v>61.61</v>
      </c>
      <c r="M105" s="6">
        <v>1.82</v>
      </c>
      <c r="N105" s="6">
        <v>67.14</v>
      </c>
      <c r="O105" s="6" t="s">
        <v>1106</v>
      </c>
      <c r="P105" s="6">
        <v>0</v>
      </c>
    </row>
    <row r="110" spans="1:16" x14ac:dyDescent="0.25">
      <c r="E110" s="6" t="s">
        <v>30</v>
      </c>
      <c r="F110">
        <v>119.465</v>
      </c>
    </row>
    <row r="111" spans="1:16" x14ac:dyDescent="0.25">
      <c r="E111" s="6" t="s">
        <v>64</v>
      </c>
      <c r="F111">
        <v>1300.462</v>
      </c>
    </row>
    <row r="112" spans="1:16" x14ac:dyDescent="0.25">
      <c r="E112" s="6" t="s">
        <v>20</v>
      </c>
      <c r="F112">
        <v>3110.6819999999998</v>
      </c>
    </row>
    <row r="113" spans="5:6" x14ac:dyDescent="0.25">
      <c r="E113" s="6" t="s">
        <v>87</v>
      </c>
      <c r="F113">
        <v>600.29399999999998</v>
      </c>
    </row>
    <row r="114" spans="5:6" x14ac:dyDescent="0.25">
      <c r="E114" s="6" t="s">
        <v>257</v>
      </c>
      <c r="F114">
        <v>47.886000000000003</v>
      </c>
    </row>
  </sheetData>
  <autoFilter ref="A1:P105" xr:uid="{00000000-0009-0000-0000-00003B000000}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P7"/>
  <sheetViews>
    <sheetView workbookViewId="0">
      <selection activeCell="G18" sqref="G18"/>
    </sheetView>
  </sheetViews>
  <sheetFormatPr defaultRowHeight="15" x14ac:dyDescent="0.25"/>
  <cols>
    <col min="1" max="1" width="10.42578125" bestFit="1" customWidth="1"/>
    <col min="2" max="2" width="21.7109375" bestFit="1" customWidth="1"/>
    <col min="3" max="3" width="8.85546875" bestFit="1" customWidth="1"/>
    <col min="4" max="4" width="18.28515625" bestFit="1" customWidth="1"/>
    <col min="5" max="5" width="22.85546875" bestFit="1" customWidth="1"/>
    <col min="6" max="6" width="7" bestFit="1" customWidth="1"/>
    <col min="7" max="7" width="15.28515625" bestFit="1" customWidth="1"/>
    <col min="8" max="8" width="9.42578125" bestFit="1" customWidth="1"/>
    <col min="9" max="9" width="9.28515625" bestFit="1" customWidth="1"/>
    <col min="10" max="10" width="6.28515625" bestFit="1" customWidth="1"/>
    <col min="11" max="11" width="8.7109375" bestFit="1" customWidth="1"/>
    <col min="12" max="12" width="17.42578125" bestFit="1" customWidth="1"/>
    <col min="13" max="13" width="9.42578125" bestFit="1" customWidth="1"/>
    <col min="14" max="14" width="17.42578125" bestFit="1" customWidth="1"/>
    <col min="15" max="15" width="8.140625" bestFit="1" customWidth="1"/>
    <col min="16" max="16" width="11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17</v>
      </c>
      <c r="C2" t="s">
        <v>1434</v>
      </c>
      <c r="D2" t="s">
        <v>1435</v>
      </c>
      <c r="E2" t="s">
        <v>30</v>
      </c>
      <c r="F2">
        <v>41.668999999999897</v>
      </c>
      <c r="G2" t="s">
        <v>21</v>
      </c>
      <c r="H2">
        <v>1.43</v>
      </c>
      <c r="I2">
        <v>0</v>
      </c>
      <c r="J2">
        <v>0.03</v>
      </c>
      <c r="K2">
        <v>1.25</v>
      </c>
      <c r="L2">
        <v>59.59</v>
      </c>
      <c r="M2">
        <v>1.48</v>
      </c>
      <c r="N2">
        <v>61.67</v>
      </c>
      <c r="O2" t="s">
        <v>1436</v>
      </c>
      <c r="P2">
        <v>0</v>
      </c>
    </row>
    <row r="3" spans="1:16" x14ac:dyDescent="0.25">
      <c r="A3" t="s">
        <v>58</v>
      </c>
      <c r="B3" t="s">
        <v>130</v>
      </c>
      <c r="C3" t="s">
        <v>1437</v>
      </c>
      <c r="D3" t="s">
        <v>1438</v>
      </c>
      <c r="E3" t="s">
        <v>30</v>
      </c>
      <c r="F3">
        <v>40.700000000000003</v>
      </c>
      <c r="G3" t="s">
        <v>21</v>
      </c>
      <c r="H3">
        <v>1.43</v>
      </c>
      <c r="I3">
        <v>0</v>
      </c>
      <c r="J3">
        <v>0.03</v>
      </c>
      <c r="K3">
        <v>1.22</v>
      </c>
      <c r="L3">
        <v>58.2</v>
      </c>
      <c r="M3">
        <v>1.5</v>
      </c>
      <c r="N3">
        <v>61.05</v>
      </c>
      <c r="O3" t="s">
        <v>1308</v>
      </c>
      <c r="P3">
        <v>0</v>
      </c>
    </row>
    <row r="4" spans="1:16" x14ac:dyDescent="0.25">
      <c r="A4" t="s">
        <v>77</v>
      </c>
      <c r="B4" t="s">
        <v>1417</v>
      </c>
      <c r="C4" t="s">
        <v>1439</v>
      </c>
      <c r="D4" t="s">
        <v>1440</v>
      </c>
      <c r="E4" t="s">
        <v>30</v>
      </c>
      <c r="F4">
        <v>27.411000000000001</v>
      </c>
      <c r="G4" t="s">
        <v>21</v>
      </c>
      <c r="H4">
        <v>1.43</v>
      </c>
      <c r="I4">
        <v>0</v>
      </c>
      <c r="J4">
        <v>0.03</v>
      </c>
      <c r="K4">
        <v>0.82</v>
      </c>
      <c r="L4">
        <v>39.200000000000003</v>
      </c>
      <c r="M4">
        <v>1.51</v>
      </c>
      <c r="N4">
        <v>41.39</v>
      </c>
      <c r="O4" t="s">
        <v>1077</v>
      </c>
      <c r="P4">
        <v>0</v>
      </c>
    </row>
    <row r="7" spans="1:16" x14ac:dyDescent="0.25">
      <c r="E7" t="s">
        <v>30</v>
      </c>
      <c r="F7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OП ТАСРУД</vt:lpstr>
      <vt:lpstr>АГРАРЕН УНИВЕРСИТЕТ - ПЛОВДИВ</vt:lpstr>
      <vt:lpstr>АГРОПАКТ ЕООД</vt:lpstr>
      <vt:lpstr>АДИГА ЕООД</vt:lpstr>
      <vt:lpstr>АНИВА ЕООД</vt:lpstr>
      <vt:lpstr>БКС ДОЛНИ ЧИФЛИК ЕООД</vt:lpstr>
      <vt:lpstr>ДЕЛОР 20 ЕООД</vt:lpstr>
      <vt:lpstr>ДЕМАКС АД % ГРУПА 1</vt:lpstr>
      <vt:lpstr>ДЕМАКС АД % ГРУПА 2</vt:lpstr>
      <vt:lpstr>ДЕМАКС ДИ ПИ АЙ АД % ГРУПА 1</vt:lpstr>
      <vt:lpstr>ДЕМАКС ДИ ПИ АЙ АД % ГРУПА 2</vt:lpstr>
      <vt:lpstr>ДЕМАКС ДИ ПИ АЙ АД % ГРУПА 3</vt:lpstr>
      <vt:lpstr>ДЖИ ТИ ЕЙ ПЕТРОЛИУМ</vt:lpstr>
      <vt:lpstr>ДИЛЯНА-02 ЕООД</vt:lpstr>
      <vt:lpstr>ДИМИТРОВ ЕКСПРЕС КАРГО ООД</vt:lpstr>
      <vt:lpstr>ДИЯНИС ВАРНА ООД</vt:lpstr>
      <vt:lpstr>ДОК ТРАНС ЕООД</vt:lpstr>
      <vt:lpstr>ДОМАШЕН СОЦИАЛЕН ПАТРОНАЖ</vt:lpstr>
      <vt:lpstr>ЕВРО ТРАНС ПРЕМИУМ ЕООД</vt:lpstr>
      <vt:lpstr>ЕВРОУЕЙ СЪРВИЗ ООД</vt:lpstr>
      <vt:lpstr>ЕНЕРДЖИ ПЛЮС ЕООД</vt:lpstr>
      <vt:lpstr>ЖЕЛЯЗКОВ ИНЖЕНЕРИНГ - ПРОИЗВОДС</vt:lpstr>
      <vt:lpstr>ЖИВКО НЕДЕЛЧЕВ ДИМИТРОВ</vt:lpstr>
      <vt:lpstr>ЗЕМЕДЕЛСКА ТЕХНИКА ООД</vt:lpstr>
      <vt:lpstr>ЗП ВЕСЕЛИН СТЕФАНОВ ЖЕЛЯЗКОВ</vt:lpstr>
      <vt:lpstr>ИВОН СТРОЙ 2015 ЕООД</vt:lpstr>
      <vt:lpstr>КИРОВ ТУР ООД</vt:lpstr>
      <vt:lpstr>КМЕТСТВО ЗВЕЗДИЦА</vt:lpstr>
      <vt:lpstr>КМЕТСТВО КАМЕНАР</vt:lpstr>
      <vt:lpstr>КМЕТСТВО КОНСТАНТИНОВО</vt:lpstr>
      <vt:lpstr>КОМЕРС НОВИ ПАЗАР ЕООД</vt:lpstr>
      <vt:lpstr>КСУВХ ГЕРГАНА ДСХ И ДПЛФУ</vt:lpstr>
      <vt:lpstr>КСУДПЛУ  СВ. ЙОАН  ЗЛАТОУСТ</vt:lpstr>
      <vt:lpstr>МЕРКУРИЙ ПРОИЗВОДСТВО И ПАКЕТАЖ</vt:lpstr>
      <vt:lpstr>МУЛТИАРТ ЕООД</vt:lpstr>
      <vt:lpstr>ОБЩИНА ВАРНА % 1</vt:lpstr>
      <vt:lpstr>ОБЩИНА ВАРНА % 2 - ОБЩИНСКА ПОЛ</vt:lpstr>
      <vt:lpstr>ОБЩИНА ВАРНА % 4 - УА</vt:lpstr>
      <vt:lpstr>ОБЩИНА ВАРНА - ДИРЕКЦИЯ СПОРТ</vt:lpstr>
      <vt:lpstr>ОБЩИНА ВАРНА % 5 - ПГД</vt:lpstr>
      <vt:lpstr>ОБЩИНА ДОБРИЧКА</vt:lpstr>
      <vt:lpstr>ОП ДЕЗИНФЕКЦИЯ, ДЕЗИНСЕКЦИЯ, ДЕ</vt:lpstr>
      <vt:lpstr>ОП КОМПЛЕКС ЗА ДЕТСКО ХРАНЕНЕ</vt:lpstr>
      <vt:lpstr>ОП ОБЩИНСКИ ПАРКИНГИ И СИНЯ ЗОН</vt:lpstr>
      <vt:lpstr>ОП УПРАВЛЕНИЕ НА ПРОЕКТИ И ОЗЕЛ</vt:lpstr>
      <vt:lpstr>ПАНТЕКС АГРО ЕООД</vt:lpstr>
      <vt:lpstr>ПОДИ ЕООД</vt:lpstr>
      <vt:lpstr>РАЙОН АСПАРУХОВО</vt:lpstr>
      <vt:lpstr>РАЙОН ВЛАДИСЛАВ ВАРНЕНЧИК - ОБЩ</vt:lpstr>
      <vt:lpstr>РАЙОН МЛАДОСТ - ОБЩИНА ВАРНА</vt:lpstr>
      <vt:lpstr>РАЙОН ОДЕСОС</vt:lpstr>
      <vt:lpstr>РАЙОН ПРИМОРСКИ – ОБЩИНА ВАРНА</vt:lpstr>
      <vt:lpstr>СКАЛА 13 - СТОЙЧО СТОЕВ ЕТ</vt:lpstr>
      <vt:lpstr>СКИМПРОТ ООД % ГРУПА 1</vt:lpstr>
      <vt:lpstr>СКИМПРОТ ООД % ГРУПА 2</vt:lpstr>
      <vt:lpstr>СПЕДСТРОЙ ООД</vt:lpstr>
      <vt:lpstr>ФРОЗЕН ФУУДС ЕООД</vt:lpstr>
      <vt:lpstr>ФУУДС ТРЕЙД ЕООД</vt:lpstr>
      <vt:lpstr>ХРАНИНВЕСТ ЕООД % ДОСТАВКИ</vt:lpstr>
      <vt:lpstr>ХРАНИНВЕСТ ЕООД % ПРОДАЖБИ</vt:lpstr>
      <vt:lpstr>ХРАНИНВЕСТ ЕООД % ТЪРГОВЦИ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2026-05-05T13:08:40Z</dcterms:created>
  <dcterms:modified xsi:type="dcterms:W3CDTF">2026-05-09T07:13:37Z</dcterms:modified>
</cp:coreProperties>
</file>